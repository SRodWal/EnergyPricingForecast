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Recursos/"/>
    </mc:Choice>
  </mc:AlternateContent>
  <xr:revisionPtr revIDLastSave="88" documentId="11_F25DC773A252ABDACC1048DC8198614A5BDE58EE" xr6:coauthVersionLast="47" xr6:coauthVersionMax="47" xr10:uidLastSave="{636C36BD-6001-4F1A-BDE7-0E20C2FDD339}"/>
  <bookViews>
    <workbookView xWindow="-105" yWindow="0" windowWidth="23325" windowHeight="20985" activeTab="2" xr2:uid="{00000000-000D-0000-FFFF-FFFF00000000}"/>
  </bookViews>
  <sheets>
    <sheet name="Sheet1" sheetId="1" r:id="rId1"/>
    <sheet name="Sheet3" sheetId="3" r:id="rId2"/>
    <sheet name="Generation" sheetId="2" r:id="rId3"/>
  </sheets>
  <calcPr calcId="191029"/>
  <pivotCaches>
    <pivotCache cacheId="54" r:id="rId4"/>
    <pivotCache cacheId="5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8" i="2" l="1"/>
  <c r="D34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2" i="2"/>
</calcChain>
</file>

<file path=xl/sharedStrings.xml><?xml version="1.0" encoding="utf-8"?>
<sst xmlns="http://schemas.openxmlformats.org/spreadsheetml/2006/main" count="1435" uniqueCount="150">
  <si>
    <t>Central</t>
  </si>
  <si>
    <t>Generación [GWh]</t>
  </si>
  <si>
    <t>Tecnología</t>
  </si>
  <si>
    <t>Enersa</t>
  </si>
  <si>
    <t>Búnker</t>
  </si>
  <si>
    <t>Lufussa III</t>
  </si>
  <si>
    <t>El Cajón</t>
  </si>
  <si>
    <t>Hidroeléctrica Regulable</t>
  </si>
  <si>
    <t>Río Lindo</t>
  </si>
  <si>
    <t>Cerro de Hula</t>
  </si>
  <si>
    <t>Eólica</t>
  </si>
  <si>
    <t>Becosa</t>
  </si>
  <si>
    <t>Petcoke</t>
  </si>
  <si>
    <t>Green Power Plant</t>
  </si>
  <si>
    <t>Biomasa</t>
  </si>
  <si>
    <t>Geoplatanares</t>
  </si>
  <si>
    <t>Geotérmica</t>
  </si>
  <si>
    <t>Patuca III</t>
  </si>
  <si>
    <t>Chinchayote</t>
  </si>
  <si>
    <t>El Faro</t>
  </si>
  <si>
    <t>Planta San Marcos</t>
  </si>
  <si>
    <t>La Vegona</t>
  </si>
  <si>
    <t>Lufussa Valle</t>
  </si>
  <si>
    <t>Elcosa</t>
  </si>
  <si>
    <t>Arenal</t>
  </si>
  <si>
    <t>Laeisz Reguleto</t>
  </si>
  <si>
    <t>Laeisz San Isidro</t>
  </si>
  <si>
    <t>Cañaveral</t>
  </si>
  <si>
    <t>Cohessa</t>
  </si>
  <si>
    <t>Solar FV</t>
  </si>
  <si>
    <t>Soposa</t>
  </si>
  <si>
    <t>Hidro Xacbal</t>
  </si>
  <si>
    <t>MER</t>
  </si>
  <si>
    <t>Laeisz Ceiba Térmica</t>
  </si>
  <si>
    <t>Celsur</t>
  </si>
  <si>
    <t>Nacaome I</t>
  </si>
  <si>
    <t>Cinco Estrellas</t>
  </si>
  <si>
    <t>Nacaome II</t>
  </si>
  <si>
    <t>SHOL</t>
  </si>
  <si>
    <t>Marcovia</t>
  </si>
  <si>
    <t>Emce Choloma</t>
  </si>
  <si>
    <t>Pecsa U1</t>
  </si>
  <si>
    <t>Choluteca II</t>
  </si>
  <si>
    <t>Helios</t>
  </si>
  <si>
    <t>Tres Valles</t>
  </si>
  <si>
    <t>Mecer</t>
  </si>
  <si>
    <t>Enersa Cogeneración</t>
  </si>
  <si>
    <t>Chamelecón</t>
  </si>
  <si>
    <t>Hidroeléctrica de Pasada</t>
  </si>
  <si>
    <t>Fotersa</t>
  </si>
  <si>
    <t>MOR</t>
  </si>
  <si>
    <t>Pencaligue</t>
  </si>
  <si>
    <t>Choluteca I</t>
  </si>
  <si>
    <t>Cuyamapa</t>
  </si>
  <si>
    <t>Mezapa</t>
  </si>
  <si>
    <t>Chumbagua</t>
  </si>
  <si>
    <t>Enerbasa</t>
  </si>
  <si>
    <t>Río Blanco</t>
  </si>
  <si>
    <t>Laeisz Térmica</t>
  </si>
  <si>
    <t>Diesel</t>
  </si>
  <si>
    <t>Cahsa</t>
  </si>
  <si>
    <t>San Juan Pueblo</t>
  </si>
  <si>
    <t>Cisa</t>
  </si>
  <si>
    <t>Sazagua</t>
  </si>
  <si>
    <t>Nacaome</t>
  </si>
  <si>
    <t>Coronado</t>
  </si>
  <si>
    <t>El Pollito</t>
  </si>
  <si>
    <t>Morja</t>
  </si>
  <si>
    <t>Cuyamel</t>
  </si>
  <si>
    <t>Llanos del Sur</t>
  </si>
  <si>
    <t>Sureña</t>
  </si>
  <si>
    <t>El Níspero</t>
  </si>
  <si>
    <t>Generaciones Energéticas</t>
  </si>
  <si>
    <t>Babilonia</t>
  </si>
  <si>
    <t>Ihsa</t>
  </si>
  <si>
    <t>La Aurora</t>
  </si>
  <si>
    <t>Genera Los Laureles</t>
  </si>
  <si>
    <t>Cuyagual</t>
  </si>
  <si>
    <t>La Gloria</t>
  </si>
  <si>
    <t>Las Lajas</t>
  </si>
  <si>
    <t>Río Betulia</t>
  </si>
  <si>
    <t>Churune</t>
  </si>
  <si>
    <t>Cortesito</t>
  </si>
  <si>
    <t>San Martín</t>
  </si>
  <si>
    <t>Peña Blanca</t>
  </si>
  <si>
    <t>Energías Solares</t>
  </si>
  <si>
    <t>Cececapa</t>
  </si>
  <si>
    <t>Ceiba Térmica</t>
  </si>
  <si>
    <t>Pecsa U2_U3</t>
  </si>
  <si>
    <t>Chachaguala</t>
  </si>
  <si>
    <t>Laeisz Juticalpa</t>
  </si>
  <si>
    <t>Río Frío</t>
  </si>
  <si>
    <t>Mangungo</t>
  </si>
  <si>
    <t>San Carlos</t>
  </si>
  <si>
    <t>Canjel</t>
  </si>
  <si>
    <t>Níspero II</t>
  </si>
  <si>
    <t>Zinguizapa</t>
  </si>
  <si>
    <t>Matarras</t>
  </si>
  <si>
    <t>Agua Verde</t>
  </si>
  <si>
    <t>Biogas y Energía</t>
  </si>
  <si>
    <t>Caracol Knits</t>
  </si>
  <si>
    <t>La Puerta</t>
  </si>
  <si>
    <t>Los Laureles</t>
  </si>
  <si>
    <t>Río Quilio</t>
  </si>
  <si>
    <t>San Alejo</t>
  </si>
  <si>
    <t>Río Guineo</t>
  </si>
  <si>
    <t>Corral de Piedras</t>
  </si>
  <si>
    <t>Zacapa</t>
  </si>
  <si>
    <t>Park Energy</t>
  </si>
  <si>
    <t>Hidroyojoa</t>
  </si>
  <si>
    <t>Térmica Villanueva</t>
  </si>
  <si>
    <t>Ecopalsa</t>
  </si>
  <si>
    <t>Aceydesa</t>
  </si>
  <si>
    <t>Santa Fé</t>
  </si>
  <si>
    <t>Merendón Power Plant</t>
  </si>
  <si>
    <t>Santa María del Real</t>
  </si>
  <si>
    <t>El Cisne</t>
  </si>
  <si>
    <t>YEAR</t>
  </si>
  <si>
    <t>Arrendamiento Brassavola</t>
  </si>
  <si>
    <t>Cihesa</t>
  </si>
  <si>
    <t>Arrendamiento Laeisz San Isidro</t>
  </si>
  <si>
    <t>Arrendamiento Laeisz Danlí</t>
  </si>
  <si>
    <t>Pecsa U4</t>
  </si>
  <si>
    <t>Fray Lázaro</t>
  </si>
  <si>
    <t>Arrendamiento Laeisz Santa Rosa</t>
  </si>
  <si>
    <t>PANAM</t>
  </si>
  <si>
    <t>Laeisz La Esperanza</t>
  </si>
  <si>
    <t>MERELEC</t>
  </si>
  <si>
    <t>LUFGUA</t>
  </si>
  <si>
    <t>EDECSA</t>
  </si>
  <si>
    <t>Arrendamiento Villanueva</t>
  </si>
  <si>
    <t>Arrendamiento El Níspero</t>
  </si>
  <si>
    <t>EXCELERGY</t>
  </si>
  <si>
    <t>Arrendamiento El Progreso</t>
  </si>
  <si>
    <t>Arrendamiento Santa Marta</t>
  </si>
  <si>
    <t>Pecsa U5</t>
  </si>
  <si>
    <t>WATTSMARKET</t>
  </si>
  <si>
    <t>Row Labels</t>
  </si>
  <si>
    <t>Grand Total</t>
  </si>
  <si>
    <t>Column Labels</t>
  </si>
  <si>
    <t>Sum of Generación [GWh]</t>
  </si>
  <si>
    <t>Renovable</t>
  </si>
  <si>
    <t>No Renovable</t>
  </si>
  <si>
    <t>LY Bridge</t>
  </si>
  <si>
    <t>Total GEN</t>
  </si>
  <si>
    <t>GEN</t>
  </si>
  <si>
    <t>Total BRIDGE</t>
  </si>
  <si>
    <t>BRIDGE</t>
  </si>
  <si>
    <t>Eneresa</t>
  </si>
  <si>
    <t>TRADENERGY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</si>
</sst>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28"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84.704167245371" createdVersion="8" refreshedVersion="8" minRefreshableVersion="3" recordCount="345" xr:uid="{95C1193E-DB78-420C-9A53-92726A5D3419}">
  <cacheSource type="worksheet">
    <worksheetSource ref="A1:E346" sheet="Generation"/>
  </cacheSource>
  <cacheFields count="6">
    <cacheField name="Central" numFmtId="0">
      <sharedItems count="123">
        <s v="Enersa"/>
        <s v="Lufussa III"/>
        <s v="El Cajón"/>
        <s v="Río Lindo"/>
        <s v="Cerro de Hula"/>
        <s v="Becosa"/>
        <s v="Green Power Plant"/>
        <s v="Geoplatanares"/>
        <s v="Patuca III"/>
        <s v="Chinchayote"/>
        <s v="El Faro"/>
        <s v="Planta San Marcos"/>
        <s v="La Vegona"/>
        <s v="Lufussa Valle"/>
        <s v="Elcosa"/>
        <s v="Arenal"/>
        <s v="Laeisz Reguleto"/>
        <s v="Laeisz San Isidro"/>
        <s v="Cañaveral"/>
        <s v="Cohessa"/>
        <s v="Soposa"/>
        <s v="Hidro Xacbal"/>
        <s v="Laeisz Ceiba Térmica"/>
        <s v="Celsur"/>
        <s v="Nacaome I"/>
        <s v="Cinco Estrellas"/>
        <s v="Nacaome II"/>
        <s v="SHOL"/>
        <s v="Marcovia"/>
        <s v="Emce Choloma"/>
        <s v="Pecsa U1"/>
        <s v="Choluteca II"/>
        <s v="Helios"/>
        <s v="Tres Valles"/>
        <s v="Mecer"/>
        <s v="Enersa Cogeneración"/>
        <s v="Chamelecón"/>
        <s v="Fotersa"/>
        <s v="MOR"/>
        <s v="Pencaligue"/>
        <s v="Choluteca I"/>
        <s v="Cuyamapa"/>
        <s v="Mezapa"/>
        <s v="Chumbagua"/>
        <s v="Enerbasa"/>
        <s v="Río Blanco"/>
        <s v="Laeisz Térmica"/>
        <s v="Cahsa"/>
        <s v="San Juan Pueblo"/>
        <s v="Cisa"/>
        <s v="Sazagua"/>
        <s v="Nacaome"/>
        <s v="Coronado"/>
        <s v="El Pollito"/>
        <s v="Morja"/>
        <s v="Cuyamel"/>
        <s v="Llanos del Sur"/>
        <s v="Sureña"/>
        <s v="El Níspero"/>
        <s v="Generaciones Energéticas"/>
        <s v="Babilonia"/>
        <s v="Ihsa"/>
        <s v="La Aurora"/>
        <s v="Genera Los Laureles"/>
        <s v="Cuyagual"/>
        <s v="La Gloria"/>
        <s v="Las Lajas"/>
        <s v="Río Betulia"/>
        <s v="Churune"/>
        <s v="Cortesito"/>
        <s v="San Martín"/>
        <s v="Peña Blanca"/>
        <s v="Energías Solares"/>
        <s v="Cececapa"/>
        <s v="Ceiba Térmica"/>
        <s v="Pecsa U2_U3"/>
        <s v="Chachaguala"/>
        <s v="Laeisz Juticalpa"/>
        <s v="Río Frío"/>
        <s v="Mangungo"/>
        <s v="San Carlos"/>
        <s v="Canjel"/>
        <s v="Níspero II"/>
        <s v="Zinguizapa"/>
        <s v="Matarras"/>
        <s v="Agua Verde"/>
        <s v="Biogas y Energía"/>
        <s v="Caracol Knits"/>
        <s v="La Puerta"/>
        <s v="Los Laureles"/>
        <s v="Río Quilio"/>
        <s v="San Alejo"/>
        <s v="Río Guineo"/>
        <s v="Corral de Piedras"/>
        <s v="Zacapa"/>
        <s v="Park Energy"/>
        <s v="Hidroyojoa"/>
        <s v="Térmica Villanueva"/>
        <s v="Ecopalsa"/>
        <s v="Aceydesa"/>
        <s v="Santa Fé"/>
        <s v="Merendón Power Plant"/>
        <s v="Santa María del Real"/>
        <s v="El Cisne"/>
        <s v="Arrendamiento Brassavola"/>
        <s v="Cihesa"/>
        <s v="Arrendamiento Laeisz San Isidro"/>
        <s v="Arrendamiento Laeisz Danlí"/>
        <s v="Pecsa U4"/>
        <s v="Fray Lázaro"/>
        <s v="Arrendamiento Laeisz Santa Rosa"/>
        <s v="PANAM"/>
        <s v="Laeisz La Esperanza"/>
        <s v="MERELEC"/>
        <s v="LUFGUA"/>
        <s v="EDECSA"/>
        <s v="Arrendamiento Villanueva"/>
        <s v="Arrendamiento El Níspero"/>
        <s v="EXCELERGY"/>
        <s v="Arrendamiento El Progreso"/>
        <s v="Arrendamiento Santa Marta"/>
        <s v="Pecsa U5"/>
        <s v="WATTSMARKET"/>
      </sharedItems>
    </cacheField>
    <cacheField name="Generación [GWh]" numFmtId="0">
      <sharedItems containsSemiMixedTypes="0" containsString="0" containsNumber="1" minValue="0.02" maxValue="1707.98"/>
    </cacheField>
    <cacheField name="Tecnología" numFmtId="0">
      <sharedItems count="10">
        <s v="Búnker"/>
        <s v="Hidroeléctrica Regulable"/>
        <s v="Eólica"/>
        <s v="Petcoke"/>
        <s v="Biomasa"/>
        <s v="Geotérmica"/>
        <s v="Solar FV"/>
        <s v="MER"/>
        <s v="Hidroeléctrica de Pasada"/>
        <s v="Diesel"/>
      </sharedItems>
      <fieldGroup par="5"/>
    </cacheField>
    <cacheField name="LY Bridge" numFmtId="4">
      <sharedItems containsSemiMixedTypes="0" containsString="0" containsNumber="1" minValue="-255.66" maxValue="1676.84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ecnología2" numFmtId="0" databaseField="0">
      <fieldGroup base="2">
        <discretePr count="10">
          <x v="1"/>
          <x v="0"/>
          <x v="0"/>
          <x v="1"/>
          <x v="1"/>
          <x v="0"/>
          <x v="0"/>
          <x v="1"/>
          <x v="0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84.710356249998" createdVersion="8" refreshedVersion="8" minRefreshableVersion="3" recordCount="347" xr:uid="{7EA0724A-D16D-4CB2-B705-415733CB2D73}">
  <cacheSource type="worksheet">
    <worksheetSource ref="A1:E348" sheet="Generation"/>
  </cacheSource>
  <cacheFields count="6">
    <cacheField name="Central" numFmtId="0">
      <sharedItems count="125">
        <s v="Enersa"/>
        <s v="Lufussa III"/>
        <s v="El Cajón"/>
        <s v="Río Lindo"/>
        <s v="Cerro de Hula"/>
        <s v="Becosa"/>
        <s v="Green Power Plant"/>
        <s v="Geoplatanares"/>
        <s v="Patuca III"/>
        <s v="Chinchayote"/>
        <s v="El Faro"/>
        <s v="Planta San Marcos"/>
        <s v="La Vegona"/>
        <s v="Lufussa Valle"/>
        <s v="Elcosa"/>
        <s v="Arenal"/>
        <s v="Laeisz Reguleto"/>
        <s v="Laeisz San Isidro"/>
        <s v="Cañaveral"/>
        <s v="Cohessa"/>
        <s v="Soposa"/>
        <s v="Hidro Xacbal"/>
        <s v="Laeisz Ceiba Térmica"/>
        <s v="Celsur"/>
        <s v="Nacaome I"/>
        <s v="Cinco Estrellas"/>
        <s v="Nacaome II"/>
        <s v="SHOL"/>
        <s v="Marcovia"/>
        <s v="Emce Choloma"/>
        <s v="Pecsa U1"/>
        <s v="Choluteca II"/>
        <s v="Helios"/>
        <s v="Tres Valles"/>
        <s v="Mecer"/>
        <s v="Enersa Cogeneración"/>
        <s v="Chamelecón"/>
        <s v="Fotersa"/>
        <s v="MOR"/>
        <s v="Pencaligue"/>
        <s v="Choluteca I"/>
        <s v="Cuyamapa"/>
        <s v="Mezapa"/>
        <s v="Chumbagua"/>
        <s v="Enerbasa"/>
        <s v="Río Blanco"/>
        <s v="Laeisz Térmica"/>
        <s v="Cahsa"/>
        <s v="San Juan Pueblo"/>
        <s v="Cisa"/>
        <s v="Sazagua"/>
        <s v="Nacaome"/>
        <s v="Coronado"/>
        <s v="El Pollito"/>
        <s v="Morja"/>
        <s v="Cuyamel"/>
        <s v="Llanos del Sur"/>
        <s v="Sureña"/>
        <s v="El Níspero"/>
        <s v="Generaciones Energéticas"/>
        <s v="Babilonia"/>
        <s v="Ihsa"/>
        <s v="La Aurora"/>
        <s v="Genera Los Laureles"/>
        <s v="Cuyagual"/>
        <s v="La Gloria"/>
        <s v="Las Lajas"/>
        <s v="Río Betulia"/>
        <s v="Churune"/>
        <s v="Cortesito"/>
        <s v="San Martín"/>
        <s v="Peña Blanca"/>
        <s v="Energías Solares"/>
        <s v="Cececapa"/>
        <s v="Ceiba Térmica"/>
        <s v="Pecsa U2_U3"/>
        <s v="Chachaguala"/>
        <s v="Laeisz Juticalpa"/>
        <s v="Río Frío"/>
        <s v="Mangungo"/>
        <s v="San Carlos"/>
        <s v="Canjel"/>
        <s v="Níspero II"/>
        <s v="Zinguizapa"/>
        <s v="Matarras"/>
        <s v="Agua Verde"/>
        <s v="Biogas y Energía"/>
        <s v="Caracol Knits"/>
        <s v="La Puerta"/>
        <s v="Los Laureles"/>
        <s v="Río Quilio"/>
        <s v="San Alejo"/>
        <s v="Río Guineo"/>
        <s v="Corral de Piedras"/>
        <s v="Zacapa"/>
        <s v="Park Energy"/>
        <s v="Hidroyojoa"/>
        <s v="Térmica Villanueva"/>
        <s v="Ecopalsa"/>
        <s v="Aceydesa"/>
        <s v="Santa Fé"/>
        <s v="Merendón Power Plant"/>
        <s v="Santa María del Real"/>
        <s v="El Cisne"/>
        <s v="Arrendamiento Brassavola"/>
        <s v="Cihesa"/>
        <s v="Arrendamiento Laeisz San Isidro"/>
        <s v="Arrendamiento Laeisz Danlí"/>
        <s v="Pecsa U4"/>
        <s v="Fray Lázaro"/>
        <s v="Arrendamiento Laeisz Santa Rosa"/>
        <s v="PANAM"/>
        <s v="Laeisz La Esperanza"/>
        <s v="MERELEC"/>
        <s v="LUFGUA"/>
        <s v="EDECSA"/>
        <s v="Arrendamiento Villanueva"/>
        <s v="Arrendamiento El Níspero"/>
        <s v="EXCELERGY"/>
        <s v="Arrendamiento El Progreso"/>
        <s v="Arrendamiento Santa Marta"/>
        <s v="Pecsa U5"/>
        <s v="WATTSMARKET"/>
        <s v="Eneresa"/>
        <s v="TRADENERGY"/>
      </sharedItems>
    </cacheField>
    <cacheField name="Generación [GWh]" numFmtId="0">
      <sharedItems containsSemiMixedTypes="0" containsString="0" containsNumber="1" minValue="0.02" maxValue="1707.98"/>
    </cacheField>
    <cacheField name="Tecnología" numFmtId="0">
      <sharedItems count="10">
        <s v="Búnker"/>
        <s v="Hidroeléctrica Regulable"/>
        <s v="Eólica"/>
        <s v="Petcoke"/>
        <s v="Biomasa"/>
        <s v="Geotérmica"/>
        <s v="Solar FV"/>
        <s v="MER"/>
        <s v="Hidroeléctrica de Pasada"/>
        <s v="Diesel"/>
      </sharedItems>
      <fieldGroup par="5"/>
    </cacheField>
    <cacheField name="LY Bridge" numFmtId="4">
      <sharedItems containsSemiMixedTypes="0" containsString="0" containsNumber="1" minValue="-255.66" maxValue="1676.84"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Tecnología2" numFmtId="0" databaseField="0">
      <fieldGroup base="2">
        <discretePr count="10">
          <x v="1"/>
          <x v="0"/>
          <x v="0"/>
          <x v="1"/>
          <x v="1"/>
          <x v="0"/>
          <x v="0"/>
          <x v="1"/>
          <x v="0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x v="0"/>
    <n v="1676.84"/>
    <x v="0"/>
    <n v="1676.84"/>
    <x v="0"/>
  </r>
  <r>
    <x v="1"/>
    <n v="1554.79"/>
    <x v="0"/>
    <n v="1554.79"/>
    <x v="0"/>
  </r>
  <r>
    <x v="2"/>
    <n v="1244.58"/>
    <x v="1"/>
    <n v="1244.58"/>
    <x v="0"/>
  </r>
  <r>
    <x v="3"/>
    <n v="425.48"/>
    <x v="1"/>
    <n v="425.48"/>
    <x v="0"/>
  </r>
  <r>
    <x v="4"/>
    <n v="377.36"/>
    <x v="2"/>
    <n v="377.36"/>
    <x v="0"/>
  </r>
  <r>
    <x v="5"/>
    <n v="329.63"/>
    <x v="3"/>
    <n v="329.63"/>
    <x v="0"/>
  </r>
  <r>
    <x v="6"/>
    <n v="260.43"/>
    <x v="4"/>
    <n v="260.43"/>
    <x v="0"/>
  </r>
  <r>
    <x v="7"/>
    <n v="254.52"/>
    <x v="5"/>
    <n v="254.52"/>
    <x v="0"/>
  </r>
  <r>
    <x v="8"/>
    <n v="248.71"/>
    <x v="1"/>
    <n v="248.71"/>
    <x v="0"/>
  </r>
  <r>
    <x v="9"/>
    <n v="202.46"/>
    <x v="2"/>
    <n v="202.46"/>
    <x v="0"/>
  </r>
  <r>
    <x v="10"/>
    <n v="199.49"/>
    <x v="0"/>
    <n v="199.49"/>
    <x v="0"/>
  </r>
  <r>
    <x v="11"/>
    <n v="187.51"/>
    <x v="2"/>
    <n v="187.51"/>
    <x v="0"/>
  </r>
  <r>
    <x v="12"/>
    <n v="185.42"/>
    <x v="1"/>
    <n v="185.42"/>
    <x v="0"/>
  </r>
  <r>
    <x v="13"/>
    <n v="176.84"/>
    <x v="0"/>
    <n v="176.84"/>
    <x v="0"/>
  </r>
  <r>
    <x v="14"/>
    <n v="168.03"/>
    <x v="0"/>
    <n v="168.03"/>
    <x v="0"/>
  </r>
  <r>
    <x v="15"/>
    <n v="167.55"/>
    <x v="1"/>
    <n v="167.55"/>
    <x v="0"/>
  </r>
  <r>
    <x v="16"/>
    <n v="147.41"/>
    <x v="0"/>
    <n v="147.41"/>
    <x v="0"/>
  </r>
  <r>
    <x v="17"/>
    <n v="139.13999999999999"/>
    <x v="0"/>
    <n v="139.13999999999999"/>
    <x v="0"/>
  </r>
  <r>
    <x v="18"/>
    <n v="116.24"/>
    <x v="1"/>
    <n v="116.24"/>
    <x v="0"/>
  </r>
  <r>
    <x v="19"/>
    <n v="108.42"/>
    <x v="6"/>
    <n v="108.42"/>
    <x v="0"/>
  </r>
  <r>
    <x v="20"/>
    <n v="107.08"/>
    <x v="6"/>
    <n v="107.08"/>
    <x v="0"/>
  </r>
  <r>
    <x v="21"/>
    <n v="106.45"/>
    <x v="7"/>
    <n v="106.45"/>
    <x v="0"/>
  </r>
  <r>
    <x v="22"/>
    <n v="100.1"/>
    <x v="0"/>
    <n v="100.1"/>
    <x v="0"/>
  </r>
  <r>
    <x v="23"/>
    <n v="100.52"/>
    <x v="4"/>
    <n v="100.52"/>
    <x v="0"/>
  </r>
  <r>
    <x v="24"/>
    <n v="96.18"/>
    <x v="6"/>
    <n v="96.18"/>
    <x v="0"/>
  </r>
  <r>
    <x v="25"/>
    <n v="92.7"/>
    <x v="6"/>
    <n v="92.7"/>
    <x v="0"/>
  </r>
  <r>
    <x v="26"/>
    <n v="87.38"/>
    <x v="6"/>
    <n v="87.38"/>
    <x v="0"/>
  </r>
  <r>
    <x v="27"/>
    <n v="83.2"/>
    <x v="1"/>
    <n v="83.2"/>
    <x v="0"/>
  </r>
  <r>
    <x v="28"/>
    <n v="75.97"/>
    <x v="6"/>
    <n v="75.97"/>
    <x v="0"/>
  </r>
  <r>
    <x v="29"/>
    <n v="72.03"/>
    <x v="0"/>
    <n v="72.03"/>
    <x v="0"/>
  </r>
  <r>
    <x v="30"/>
    <n v="70.010000000000005"/>
    <x v="0"/>
    <n v="70.010000000000005"/>
    <x v="0"/>
  </r>
  <r>
    <x v="31"/>
    <n v="60.07"/>
    <x v="6"/>
    <n v="60.07"/>
    <x v="0"/>
  </r>
  <r>
    <x v="32"/>
    <n v="57.69"/>
    <x v="6"/>
    <n v="57.69"/>
    <x v="0"/>
  </r>
  <r>
    <x v="33"/>
    <n v="57.42"/>
    <x v="4"/>
    <n v="57.42"/>
    <x v="0"/>
  </r>
  <r>
    <x v="34"/>
    <n v="52.8"/>
    <x v="6"/>
    <n v="52.8"/>
    <x v="0"/>
  </r>
  <r>
    <x v="35"/>
    <n v="45.53"/>
    <x v="0"/>
    <n v="45.53"/>
    <x v="0"/>
  </r>
  <r>
    <x v="36"/>
    <n v="44.6"/>
    <x v="8"/>
    <n v="44.6"/>
    <x v="0"/>
  </r>
  <r>
    <x v="37"/>
    <n v="42.46"/>
    <x v="6"/>
    <n v="42.46"/>
    <x v="0"/>
  </r>
  <r>
    <x v="38"/>
    <n v="42.19"/>
    <x v="7"/>
    <n v="42.19"/>
    <x v="0"/>
  </r>
  <r>
    <x v="39"/>
    <n v="42.19"/>
    <x v="8"/>
    <n v="42.19"/>
    <x v="0"/>
  </r>
  <r>
    <x v="40"/>
    <n v="41.75"/>
    <x v="6"/>
    <n v="41.75"/>
    <x v="0"/>
  </r>
  <r>
    <x v="41"/>
    <n v="39.4"/>
    <x v="8"/>
    <n v="39.4"/>
    <x v="0"/>
  </r>
  <r>
    <x v="42"/>
    <n v="38.83"/>
    <x v="8"/>
    <n v="38.83"/>
    <x v="0"/>
  </r>
  <r>
    <x v="43"/>
    <n v="38.65"/>
    <x v="4"/>
    <n v="38.65"/>
    <x v="0"/>
  </r>
  <r>
    <x v="44"/>
    <n v="34.82"/>
    <x v="6"/>
    <n v="34.82"/>
    <x v="0"/>
  </r>
  <r>
    <x v="45"/>
    <n v="33.340000000000003"/>
    <x v="8"/>
    <n v="33.340000000000003"/>
    <x v="0"/>
  </r>
  <r>
    <x v="46"/>
    <n v="33.04"/>
    <x v="9"/>
    <n v="33.04"/>
    <x v="0"/>
  </r>
  <r>
    <x v="47"/>
    <n v="32.590000000000003"/>
    <x v="4"/>
    <n v="32.590000000000003"/>
    <x v="0"/>
  </r>
  <r>
    <x v="48"/>
    <n v="32.35"/>
    <x v="8"/>
    <n v="32.35"/>
    <x v="0"/>
  </r>
  <r>
    <x v="49"/>
    <n v="30.82"/>
    <x v="8"/>
    <n v="30.82"/>
    <x v="0"/>
  </r>
  <r>
    <x v="50"/>
    <n v="30.81"/>
    <x v="8"/>
    <n v="30.81"/>
    <x v="0"/>
  </r>
  <r>
    <x v="51"/>
    <n v="30.04"/>
    <x v="8"/>
    <n v="30.04"/>
    <x v="0"/>
  </r>
  <r>
    <x v="52"/>
    <n v="29.01"/>
    <x v="8"/>
    <n v="29.01"/>
    <x v="0"/>
  </r>
  <r>
    <x v="53"/>
    <n v="28.5"/>
    <x v="6"/>
    <n v="28.5"/>
    <x v="0"/>
  </r>
  <r>
    <x v="54"/>
    <n v="26.67"/>
    <x v="8"/>
    <n v="26.67"/>
    <x v="0"/>
  </r>
  <r>
    <x v="55"/>
    <n v="24.8"/>
    <x v="8"/>
    <n v="24.8"/>
    <x v="0"/>
  </r>
  <r>
    <x v="56"/>
    <n v="24.76"/>
    <x v="6"/>
    <n v="24.76"/>
    <x v="0"/>
  </r>
  <r>
    <x v="57"/>
    <n v="23.58"/>
    <x v="6"/>
    <n v="23.58"/>
    <x v="0"/>
  </r>
  <r>
    <x v="58"/>
    <n v="23.45"/>
    <x v="8"/>
    <n v="23.45"/>
    <x v="0"/>
  </r>
  <r>
    <x v="59"/>
    <n v="22.55"/>
    <x v="6"/>
    <n v="22.55"/>
    <x v="0"/>
  </r>
  <r>
    <x v="60"/>
    <n v="22.45"/>
    <x v="8"/>
    <n v="22.45"/>
    <x v="0"/>
  </r>
  <r>
    <x v="61"/>
    <n v="21.73"/>
    <x v="4"/>
    <n v="21.73"/>
    <x v="0"/>
  </r>
  <r>
    <x v="62"/>
    <n v="20.420000000000002"/>
    <x v="8"/>
    <n v="20.420000000000002"/>
    <x v="0"/>
  </r>
  <r>
    <x v="63"/>
    <n v="20"/>
    <x v="8"/>
    <n v="20"/>
    <x v="0"/>
  </r>
  <r>
    <x v="64"/>
    <n v="19.440000000000001"/>
    <x v="8"/>
    <n v="19.440000000000001"/>
    <x v="0"/>
  </r>
  <r>
    <x v="65"/>
    <n v="18.7"/>
    <x v="8"/>
    <n v="18.7"/>
    <x v="0"/>
  </r>
  <r>
    <x v="66"/>
    <n v="17.600000000000001"/>
    <x v="6"/>
    <n v="17.600000000000001"/>
    <x v="0"/>
  </r>
  <r>
    <x v="67"/>
    <n v="15.37"/>
    <x v="8"/>
    <n v="15.37"/>
    <x v="0"/>
  </r>
  <r>
    <x v="68"/>
    <n v="15.12"/>
    <x v="8"/>
    <n v="15.12"/>
    <x v="0"/>
  </r>
  <r>
    <x v="69"/>
    <n v="15.05"/>
    <x v="8"/>
    <n v="15.05"/>
    <x v="0"/>
  </r>
  <r>
    <x v="70"/>
    <n v="14.33"/>
    <x v="8"/>
    <n v="14.33"/>
    <x v="0"/>
  </r>
  <r>
    <x v="71"/>
    <n v="13.28"/>
    <x v="8"/>
    <n v="13.28"/>
    <x v="0"/>
  </r>
  <r>
    <x v="72"/>
    <n v="12.99"/>
    <x v="6"/>
    <n v="12.99"/>
    <x v="0"/>
  </r>
  <r>
    <x v="73"/>
    <n v="12.6"/>
    <x v="8"/>
    <n v="12.6"/>
    <x v="0"/>
  </r>
  <r>
    <x v="74"/>
    <n v="12.21"/>
    <x v="0"/>
    <n v="12.21"/>
    <x v="0"/>
  </r>
  <r>
    <x v="75"/>
    <n v="10.28"/>
    <x v="0"/>
    <n v="10.28"/>
    <x v="0"/>
  </r>
  <r>
    <x v="76"/>
    <n v="9.52"/>
    <x v="8"/>
    <n v="9.52"/>
    <x v="0"/>
  </r>
  <r>
    <x v="77"/>
    <n v="9"/>
    <x v="9"/>
    <n v="9"/>
    <x v="0"/>
  </r>
  <r>
    <x v="78"/>
    <n v="8.82"/>
    <x v="8"/>
    <n v="8.82"/>
    <x v="0"/>
  </r>
  <r>
    <x v="79"/>
    <n v="8.2200000000000006"/>
    <x v="8"/>
    <n v="8.2200000000000006"/>
    <x v="0"/>
  </r>
  <r>
    <x v="80"/>
    <n v="8.0299999999999994"/>
    <x v="8"/>
    <n v="8.0299999999999994"/>
    <x v="0"/>
  </r>
  <r>
    <x v="81"/>
    <n v="7.52"/>
    <x v="8"/>
    <n v="7.52"/>
    <x v="0"/>
  </r>
  <r>
    <x v="82"/>
    <n v="7.33"/>
    <x v="8"/>
    <n v="7.33"/>
    <x v="0"/>
  </r>
  <r>
    <x v="83"/>
    <n v="7.26"/>
    <x v="8"/>
    <n v="7.26"/>
    <x v="0"/>
  </r>
  <r>
    <x v="84"/>
    <n v="6.51"/>
    <x v="8"/>
    <n v="6.51"/>
    <x v="0"/>
  </r>
  <r>
    <x v="85"/>
    <n v="6.16"/>
    <x v="8"/>
    <n v="6.16"/>
    <x v="0"/>
  </r>
  <r>
    <x v="86"/>
    <n v="5.28"/>
    <x v="4"/>
    <n v="5.28"/>
    <x v="0"/>
  </r>
  <r>
    <x v="87"/>
    <n v="5.27"/>
    <x v="4"/>
    <n v="5.27"/>
    <x v="0"/>
  </r>
  <r>
    <x v="88"/>
    <n v="4.1399999999999997"/>
    <x v="9"/>
    <n v="4.1399999999999997"/>
    <x v="0"/>
  </r>
  <r>
    <x v="89"/>
    <n v="3.79"/>
    <x v="8"/>
    <n v="3.79"/>
    <x v="0"/>
  </r>
  <r>
    <x v="90"/>
    <n v="3.68"/>
    <x v="8"/>
    <n v="3.68"/>
    <x v="0"/>
  </r>
  <r>
    <x v="91"/>
    <n v="3.58"/>
    <x v="8"/>
    <n v="3.58"/>
    <x v="0"/>
  </r>
  <r>
    <x v="92"/>
    <n v="3.53"/>
    <x v="8"/>
    <n v="3.53"/>
    <x v="0"/>
  </r>
  <r>
    <x v="93"/>
    <n v="3.1"/>
    <x v="8"/>
    <n v="3.1"/>
    <x v="0"/>
  </r>
  <r>
    <x v="94"/>
    <n v="2.59"/>
    <x v="8"/>
    <n v="2.59"/>
    <x v="0"/>
  </r>
  <r>
    <x v="95"/>
    <n v="2.35"/>
    <x v="0"/>
    <n v="2.35"/>
    <x v="0"/>
  </r>
  <r>
    <x v="96"/>
    <n v="1.38"/>
    <x v="8"/>
    <n v="1.38"/>
    <x v="0"/>
  </r>
  <r>
    <x v="97"/>
    <n v="1.29"/>
    <x v="0"/>
    <n v="1.29"/>
    <x v="0"/>
  </r>
  <r>
    <x v="98"/>
    <n v="1.08"/>
    <x v="4"/>
    <n v="1.08"/>
    <x v="0"/>
  </r>
  <r>
    <x v="99"/>
    <n v="0.47"/>
    <x v="4"/>
    <n v="0.47"/>
    <x v="0"/>
  </r>
  <r>
    <x v="100"/>
    <n v="0.28999999999999998"/>
    <x v="9"/>
    <n v="0.28999999999999998"/>
    <x v="0"/>
  </r>
  <r>
    <x v="101"/>
    <n v="0.17"/>
    <x v="4"/>
    <n v="0.17"/>
    <x v="0"/>
  </r>
  <r>
    <x v="102"/>
    <n v="0.1"/>
    <x v="8"/>
    <n v="0.1"/>
    <x v="0"/>
  </r>
  <r>
    <x v="103"/>
    <n v="0.02"/>
    <x v="8"/>
    <n v="0.02"/>
    <x v="0"/>
  </r>
  <r>
    <x v="104"/>
    <n v="42.92"/>
    <x v="9"/>
    <n v="42.92"/>
    <x v="0"/>
  </r>
  <r>
    <x v="105"/>
    <n v="36.56"/>
    <x v="6"/>
    <n v="36.56"/>
    <x v="0"/>
  </r>
  <r>
    <x v="106"/>
    <n v="26.71"/>
    <x v="9"/>
    <n v="26.71"/>
    <x v="0"/>
  </r>
  <r>
    <x v="107"/>
    <n v="18.12"/>
    <x v="9"/>
    <n v="18.12"/>
    <x v="0"/>
  </r>
  <r>
    <x v="108"/>
    <n v="13.96"/>
    <x v="0"/>
    <n v="13.96"/>
    <x v="0"/>
  </r>
  <r>
    <x v="109"/>
    <n v="4.92"/>
    <x v="6"/>
    <n v="4.92"/>
    <x v="0"/>
  </r>
  <r>
    <x v="110"/>
    <n v="1.29"/>
    <x v="9"/>
    <n v="1.29"/>
    <x v="0"/>
  </r>
  <r>
    <x v="0"/>
    <n v="1707.98"/>
    <x v="0"/>
    <n v="31.1400000000001"/>
    <x v="1"/>
  </r>
  <r>
    <x v="1"/>
    <n v="1432.22"/>
    <x v="0"/>
    <n v="-122.56999999999994"/>
    <x v="1"/>
  </r>
  <r>
    <x v="2"/>
    <n v="1478.75"/>
    <x v="1"/>
    <n v="234.17000000000007"/>
    <x v="1"/>
  </r>
  <r>
    <x v="3"/>
    <n v="469.29"/>
    <x v="1"/>
    <n v="43.81"/>
    <x v="1"/>
  </r>
  <r>
    <x v="4"/>
    <n v="342.84"/>
    <x v="2"/>
    <n v="-34.520000000000039"/>
    <x v="1"/>
  </r>
  <r>
    <x v="5"/>
    <n v="358.11"/>
    <x v="3"/>
    <n v="28.480000000000018"/>
    <x v="1"/>
  </r>
  <r>
    <x v="6"/>
    <n v="4.7699999999999996"/>
    <x v="4"/>
    <n v="-255.66"/>
    <x v="1"/>
  </r>
  <r>
    <x v="7"/>
    <n v="241.48"/>
    <x v="5"/>
    <n v="-13.04000000000002"/>
    <x v="1"/>
  </r>
  <r>
    <x v="8"/>
    <n v="340.14"/>
    <x v="1"/>
    <n v="91.429999999999978"/>
    <x v="1"/>
  </r>
  <r>
    <x v="9"/>
    <n v="163.58000000000001"/>
    <x v="2"/>
    <n v="-38.879999999999995"/>
    <x v="1"/>
  </r>
  <r>
    <x v="10"/>
    <n v="218.7"/>
    <x v="0"/>
    <n v="19.20999999999998"/>
    <x v="1"/>
  </r>
  <r>
    <x v="11"/>
    <n v="157.63999999999999"/>
    <x v="2"/>
    <n v="-29.870000000000005"/>
    <x v="1"/>
  </r>
  <r>
    <x v="12"/>
    <n v="214.2"/>
    <x v="1"/>
    <n v="28.78"/>
    <x v="1"/>
  </r>
  <r>
    <x v="13"/>
    <n v="180.19"/>
    <x v="0"/>
    <n v="3.3499999999999943"/>
    <x v="1"/>
  </r>
  <r>
    <x v="14"/>
    <n v="223.6"/>
    <x v="0"/>
    <n v="55.569999999999993"/>
    <x v="1"/>
  </r>
  <r>
    <x v="15"/>
    <n v="201.44"/>
    <x v="1"/>
    <n v="33.889999999999986"/>
    <x v="1"/>
  </r>
  <r>
    <x v="16"/>
    <n v="178.83"/>
    <x v="0"/>
    <n v="31.420000000000016"/>
    <x v="1"/>
  </r>
  <r>
    <x v="17"/>
    <n v="142.63"/>
    <x v="0"/>
    <n v="3.4900000000000091"/>
    <x v="1"/>
  </r>
  <r>
    <x v="18"/>
    <n v="128.38"/>
    <x v="1"/>
    <n v="12.14"/>
    <x v="1"/>
  </r>
  <r>
    <x v="19"/>
    <n v="105.85"/>
    <x v="6"/>
    <n v="-2.5700000000000074"/>
    <x v="1"/>
  </r>
  <r>
    <x v="20"/>
    <n v="107.38"/>
    <x v="6"/>
    <n v="0.29999999999999716"/>
    <x v="1"/>
  </r>
  <r>
    <x v="21"/>
    <n v="100.4"/>
    <x v="7"/>
    <n v="-6.0499999999999972"/>
    <x v="1"/>
  </r>
  <r>
    <x v="22"/>
    <n v="110.4"/>
    <x v="0"/>
    <n v="10.300000000000011"/>
    <x v="1"/>
  </r>
  <r>
    <x v="23"/>
    <n v="114.7"/>
    <x v="4"/>
    <n v="14.180000000000007"/>
    <x v="1"/>
  </r>
  <r>
    <x v="24"/>
    <n v="91.53"/>
    <x v="6"/>
    <n v="-4.6500000000000057"/>
    <x v="1"/>
  </r>
  <r>
    <x v="25"/>
    <n v="95.87"/>
    <x v="6"/>
    <n v="3.1700000000000017"/>
    <x v="1"/>
  </r>
  <r>
    <x v="26"/>
    <n v="82.73"/>
    <x v="6"/>
    <n v="-4.6499999999999915"/>
    <x v="1"/>
  </r>
  <r>
    <x v="27"/>
    <n v="108.84"/>
    <x v="1"/>
    <n v="25.64"/>
    <x v="1"/>
  </r>
  <r>
    <x v="28"/>
    <n v="72.17"/>
    <x v="6"/>
    <n v="-3.7999999999999972"/>
    <x v="1"/>
  </r>
  <r>
    <x v="29"/>
    <n v="63.39"/>
    <x v="0"/>
    <n v="-8.64"/>
    <x v="1"/>
  </r>
  <r>
    <x v="30"/>
    <n v="58.09"/>
    <x v="0"/>
    <n v="-11.920000000000002"/>
    <x v="1"/>
  </r>
  <r>
    <x v="31"/>
    <n v="57.61"/>
    <x v="6"/>
    <n v="-2.4600000000000009"/>
    <x v="1"/>
  </r>
  <r>
    <x v="32"/>
    <n v="56.47"/>
    <x v="6"/>
    <n v="-1.2199999999999989"/>
    <x v="1"/>
  </r>
  <r>
    <x v="33"/>
    <n v="58.01"/>
    <x v="4"/>
    <n v="0.58999999999999631"/>
    <x v="1"/>
  </r>
  <r>
    <x v="34"/>
    <n v="53.58"/>
    <x v="6"/>
    <n v="0.78000000000000114"/>
    <x v="1"/>
  </r>
  <r>
    <x v="35"/>
    <n v="58.03"/>
    <x v="0"/>
    <n v="12.5"/>
    <x v="1"/>
  </r>
  <r>
    <x v="36"/>
    <n v="53.85"/>
    <x v="8"/>
    <n v="9.25"/>
    <x v="1"/>
  </r>
  <r>
    <x v="37"/>
    <n v="39.909999999999997"/>
    <x v="6"/>
    <n v="-2.5500000000000043"/>
    <x v="1"/>
  </r>
  <r>
    <x v="38"/>
    <n v="51.52"/>
    <x v="7"/>
    <n v="9.3300000000000054"/>
    <x v="1"/>
  </r>
  <r>
    <x v="39"/>
    <n v="53.91"/>
    <x v="8"/>
    <n v="11.719999999999999"/>
    <x v="1"/>
  </r>
  <r>
    <x v="40"/>
    <n v="39.78"/>
    <x v="6"/>
    <n v="-1.9699999999999989"/>
    <x v="1"/>
  </r>
  <r>
    <x v="41"/>
    <n v="51.31"/>
    <x v="8"/>
    <n v="11.910000000000004"/>
    <x v="1"/>
  </r>
  <r>
    <x v="42"/>
    <n v="45.18"/>
    <x v="8"/>
    <n v="6.3500000000000014"/>
    <x v="1"/>
  </r>
  <r>
    <x v="43"/>
    <n v="32.19"/>
    <x v="4"/>
    <n v="-6.4600000000000009"/>
    <x v="1"/>
  </r>
  <r>
    <x v="44"/>
    <n v="34.75"/>
    <x v="6"/>
    <n v="-7.0000000000000284E-2"/>
    <x v="1"/>
  </r>
  <r>
    <x v="45"/>
    <n v="32.36"/>
    <x v="8"/>
    <n v="-0.98000000000000398"/>
    <x v="1"/>
  </r>
  <r>
    <x v="46"/>
    <n v="23.23"/>
    <x v="9"/>
    <n v="-9.8099999999999987"/>
    <x v="1"/>
  </r>
  <r>
    <x v="47"/>
    <n v="40.47"/>
    <x v="4"/>
    <n v="7.8799999999999955"/>
    <x v="1"/>
  </r>
  <r>
    <x v="48"/>
    <n v="37.44"/>
    <x v="8"/>
    <n v="5.0899999999999963"/>
    <x v="1"/>
  </r>
  <r>
    <x v="49"/>
    <n v="37.47"/>
    <x v="8"/>
    <n v="6.6499999999999986"/>
    <x v="1"/>
  </r>
  <r>
    <x v="50"/>
    <n v="35.1"/>
    <x v="8"/>
    <n v="4.2900000000000027"/>
    <x v="1"/>
  </r>
  <r>
    <x v="51"/>
    <n v="42.55"/>
    <x v="8"/>
    <n v="12.509999999999998"/>
    <x v="1"/>
  </r>
  <r>
    <x v="52"/>
    <n v="33.07"/>
    <x v="8"/>
    <n v="4.0599999999999987"/>
    <x v="1"/>
  </r>
  <r>
    <x v="53"/>
    <n v="25.25"/>
    <x v="6"/>
    <n v="-3.25"/>
    <x v="1"/>
  </r>
  <r>
    <x v="54"/>
    <n v="29.18"/>
    <x v="8"/>
    <n v="2.509999999999998"/>
    <x v="1"/>
  </r>
  <r>
    <x v="55"/>
    <n v="22.8"/>
    <x v="8"/>
    <n v="-2"/>
    <x v="1"/>
  </r>
  <r>
    <x v="56"/>
    <n v="23.68"/>
    <x v="6"/>
    <n v="-1.0800000000000018"/>
    <x v="1"/>
  </r>
  <r>
    <x v="57"/>
    <n v="22.77"/>
    <x v="6"/>
    <n v="-0.80999999999999872"/>
    <x v="1"/>
  </r>
  <r>
    <x v="58"/>
    <n v="67.87"/>
    <x v="8"/>
    <n v="44.42"/>
    <x v="1"/>
  </r>
  <r>
    <x v="59"/>
    <n v="21.75"/>
    <x v="6"/>
    <n v="-0.80000000000000071"/>
    <x v="1"/>
  </r>
  <r>
    <x v="60"/>
    <n v="28.24"/>
    <x v="8"/>
    <n v="5.7899999999999991"/>
    <x v="1"/>
  </r>
  <r>
    <x v="61"/>
    <n v="18.61"/>
    <x v="4"/>
    <n v="-3.120000000000001"/>
    <x v="1"/>
  </r>
  <r>
    <x v="62"/>
    <n v="29.67"/>
    <x v="8"/>
    <n v="9.25"/>
    <x v="1"/>
  </r>
  <r>
    <x v="63"/>
    <n v="24.2"/>
    <x v="8"/>
    <n v="4.1999999999999993"/>
    <x v="1"/>
  </r>
  <r>
    <x v="64"/>
    <n v="16.309999999999999"/>
    <x v="8"/>
    <n v="-3.1300000000000026"/>
    <x v="1"/>
  </r>
  <r>
    <x v="65"/>
    <n v="28.54"/>
    <x v="8"/>
    <n v="9.84"/>
    <x v="1"/>
  </r>
  <r>
    <x v="66"/>
    <n v="16.57"/>
    <x v="6"/>
    <n v="-1.0300000000000011"/>
    <x v="1"/>
  </r>
  <r>
    <x v="67"/>
    <n v="7.73"/>
    <x v="8"/>
    <n v="-7.6399999999999988"/>
    <x v="1"/>
  </r>
  <r>
    <x v="68"/>
    <n v="17.87"/>
    <x v="8"/>
    <n v="2.7500000000000018"/>
    <x v="1"/>
  </r>
  <r>
    <x v="69"/>
    <n v="15.73"/>
    <x v="8"/>
    <n v="0.67999999999999972"/>
    <x v="1"/>
  </r>
  <r>
    <x v="70"/>
    <n v="16.45"/>
    <x v="8"/>
    <n v="2.1199999999999992"/>
    <x v="1"/>
  </r>
  <r>
    <x v="71"/>
    <n v="14.5"/>
    <x v="8"/>
    <n v="1.2200000000000006"/>
    <x v="1"/>
  </r>
  <r>
    <x v="72"/>
    <n v="12.75"/>
    <x v="6"/>
    <n v="-0.24000000000000021"/>
    <x v="1"/>
  </r>
  <r>
    <x v="73"/>
    <n v="14.11"/>
    <x v="8"/>
    <n v="1.5099999999999998"/>
    <x v="1"/>
  </r>
  <r>
    <x v="74"/>
    <n v="14.51"/>
    <x v="0"/>
    <n v="2.2999999999999989"/>
    <x v="1"/>
  </r>
  <r>
    <x v="75"/>
    <n v="22.88"/>
    <x v="0"/>
    <n v="12.6"/>
    <x v="1"/>
  </r>
  <r>
    <x v="76"/>
    <n v="8.83"/>
    <x v="8"/>
    <n v="-0.6899999999999995"/>
    <x v="1"/>
  </r>
  <r>
    <x v="77"/>
    <n v="30.46"/>
    <x v="9"/>
    <n v="21.46"/>
    <x v="1"/>
  </r>
  <r>
    <x v="78"/>
    <n v="11.89"/>
    <x v="8"/>
    <n v="3.0700000000000003"/>
    <x v="1"/>
  </r>
  <r>
    <x v="79"/>
    <n v="8.6999999999999993"/>
    <x v="8"/>
    <n v="0.47999999999999865"/>
    <x v="1"/>
  </r>
  <r>
    <x v="80"/>
    <n v="12.59"/>
    <x v="8"/>
    <n v="4.5600000000000005"/>
    <x v="1"/>
  </r>
  <r>
    <x v="81"/>
    <n v="9.4700000000000006"/>
    <x v="8"/>
    <n v="1.9500000000000011"/>
    <x v="1"/>
  </r>
  <r>
    <x v="82"/>
    <n v="4.8899999999999997"/>
    <x v="8"/>
    <n v="-2.4400000000000004"/>
    <x v="1"/>
  </r>
  <r>
    <x v="83"/>
    <n v="13.94"/>
    <x v="8"/>
    <n v="6.68"/>
    <x v="1"/>
  </r>
  <r>
    <x v="84"/>
    <n v="7.58"/>
    <x v="8"/>
    <n v="1.0700000000000003"/>
    <x v="1"/>
  </r>
  <r>
    <x v="85"/>
    <n v="6.53"/>
    <x v="8"/>
    <n v="0.37000000000000011"/>
    <x v="1"/>
  </r>
  <r>
    <x v="86"/>
    <n v="4.91"/>
    <x v="4"/>
    <n v="-0.37000000000000011"/>
    <x v="1"/>
  </r>
  <r>
    <x v="87"/>
    <n v="6.13"/>
    <x v="4"/>
    <n v="0.86000000000000032"/>
    <x v="1"/>
  </r>
  <r>
    <x v="88"/>
    <n v="4.2300000000000004"/>
    <x v="9"/>
    <n v="9.0000000000000746E-2"/>
    <x v="1"/>
  </r>
  <r>
    <x v="89"/>
    <n v="3.83"/>
    <x v="8"/>
    <n v="4.0000000000000036E-2"/>
    <x v="1"/>
  </r>
  <r>
    <x v="90"/>
    <n v="4.51"/>
    <x v="8"/>
    <n v="0.82999999999999963"/>
    <x v="1"/>
  </r>
  <r>
    <x v="91"/>
    <n v="5.17"/>
    <x v="8"/>
    <n v="1.5899999999999999"/>
    <x v="1"/>
  </r>
  <r>
    <x v="92"/>
    <n v="2.5299999999999998"/>
    <x v="8"/>
    <n v="-1"/>
    <x v="1"/>
  </r>
  <r>
    <x v="93"/>
    <n v="2.34"/>
    <x v="8"/>
    <n v="-0.76000000000000023"/>
    <x v="1"/>
  </r>
  <r>
    <x v="94"/>
    <n v="2.9"/>
    <x v="8"/>
    <n v="0.31000000000000005"/>
    <x v="1"/>
  </r>
  <r>
    <x v="95"/>
    <n v="2.77"/>
    <x v="0"/>
    <n v="0.41999999999999993"/>
    <x v="1"/>
  </r>
  <r>
    <x v="96"/>
    <n v="1.49"/>
    <x v="8"/>
    <n v="0.1100000000000001"/>
    <x v="1"/>
  </r>
  <r>
    <x v="97"/>
    <n v="17.79"/>
    <x v="0"/>
    <n v="16.5"/>
    <x v="1"/>
  </r>
  <r>
    <x v="98"/>
    <n v="0.05"/>
    <x v="4"/>
    <n v="-1.03"/>
    <x v="1"/>
  </r>
  <r>
    <x v="99"/>
    <n v="0.69"/>
    <x v="4"/>
    <n v="0.21999999999999997"/>
    <x v="1"/>
  </r>
  <r>
    <x v="100"/>
    <n v="0.75"/>
    <x v="9"/>
    <n v="0.46"/>
    <x v="1"/>
  </r>
  <r>
    <x v="101"/>
    <n v="0.17"/>
    <x v="4"/>
    <n v="0"/>
    <x v="1"/>
  </r>
  <r>
    <x v="102"/>
    <n v="0.1"/>
    <x v="8"/>
    <n v="0"/>
    <x v="1"/>
  </r>
  <r>
    <x v="103"/>
    <n v="0.02"/>
    <x v="8"/>
    <n v="0"/>
    <x v="1"/>
  </r>
  <r>
    <x v="104"/>
    <n v="42.92"/>
    <x v="9"/>
    <n v="0"/>
    <x v="1"/>
  </r>
  <r>
    <x v="105"/>
    <n v="36.56"/>
    <x v="6"/>
    <n v="0"/>
    <x v="1"/>
  </r>
  <r>
    <x v="106"/>
    <n v="26.71"/>
    <x v="9"/>
    <n v="0"/>
    <x v="1"/>
  </r>
  <r>
    <x v="107"/>
    <n v="18.12"/>
    <x v="9"/>
    <n v="0"/>
    <x v="1"/>
  </r>
  <r>
    <x v="108"/>
    <n v="13.96"/>
    <x v="0"/>
    <n v="0"/>
    <x v="1"/>
  </r>
  <r>
    <x v="109"/>
    <n v="4.92"/>
    <x v="6"/>
    <n v="0"/>
    <x v="1"/>
  </r>
  <r>
    <x v="110"/>
    <n v="1.29"/>
    <x v="9"/>
    <n v="0"/>
    <x v="1"/>
  </r>
  <r>
    <x v="0"/>
    <n v="1463.97"/>
    <x v="0"/>
    <n v="-244.01"/>
    <x v="2"/>
  </r>
  <r>
    <x v="1"/>
    <n v="1191.8800000000001"/>
    <x v="0"/>
    <n v="-240.33999999999992"/>
    <x v="2"/>
  </r>
  <r>
    <x v="2"/>
    <n v="1570.23"/>
    <x v="1"/>
    <n v="91.480000000000018"/>
    <x v="2"/>
  </r>
  <r>
    <x v="3"/>
    <n v="336.75"/>
    <x v="1"/>
    <n v="-132.54000000000002"/>
    <x v="2"/>
  </r>
  <r>
    <x v="4"/>
    <n v="366.31"/>
    <x v="2"/>
    <n v="23.470000000000027"/>
    <x v="2"/>
  </r>
  <r>
    <x v="5"/>
    <n v="294.04000000000002"/>
    <x v="3"/>
    <n v="-64.069999999999993"/>
    <x v="2"/>
  </r>
  <r>
    <x v="6"/>
    <n v="178.15"/>
    <x v="4"/>
    <n v="173.38"/>
    <x v="2"/>
  </r>
  <r>
    <x v="7"/>
    <n v="206.06"/>
    <x v="5"/>
    <n v="-35.419999999999987"/>
    <x v="2"/>
  </r>
  <r>
    <x v="8"/>
    <n v="273.39"/>
    <x v="1"/>
    <n v="-66.75"/>
    <x v="2"/>
  </r>
  <r>
    <x v="9"/>
    <n v="192.16"/>
    <x v="2"/>
    <n v="28.579999999999984"/>
    <x v="2"/>
  </r>
  <r>
    <x v="10"/>
    <n v="124.09"/>
    <x v="0"/>
    <n v="-94.609999999999985"/>
    <x v="2"/>
  </r>
  <r>
    <x v="11"/>
    <n v="181.23"/>
    <x v="2"/>
    <n v="23.590000000000003"/>
    <x v="2"/>
  </r>
  <r>
    <x v="12"/>
    <n v="218.36"/>
    <x v="1"/>
    <n v="4.160000000000025"/>
    <x v="2"/>
  </r>
  <r>
    <x v="13"/>
    <n v="92.61"/>
    <x v="0"/>
    <n v="-87.58"/>
    <x v="2"/>
  </r>
  <r>
    <x v="14"/>
    <n v="89.66"/>
    <x v="0"/>
    <n v="-133.94"/>
    <x v="2"/>
  </r>
  <r>
    <x v="15"/>
    <n v="174.7"/>
    <x v="1"/>
    <n v="-26.740000000000009"/>
    <x v="2"/>
  </r>
  <r>
    <x v="16"/>
    <n v="168.85"/>
    <x v="0"/>
    <n v="-9.9800000000000182"/>
    <x v="2"/>
  </r>
  <r>
    <x v="17"/>
    <n v="104.34"/>
    <x v="0"/>
    <n v="-38.289999999999992"/>
    <x v="2"/>
  </r>
  <r>
    <x v="18"/>
    <n v="98.17"/>
    <x v="1"/>
    <n v="-30.209999999999994"/>
    <x v="2"/>
  </r>
  <r>
    <x v="19"/>
    <n v="101.7"/>
    <x v="6"/>
    <n v="-4.1499999999999915"/>
    <x v="2"/>
  </r>
  <r>
    <x v="20"/>
    <n v="106.32"/>
    <x v="6"/>
    <n v="-1.0600000000000023"/>
    <x v="2"/>
  </r>
  <r>
    <x v="21"/>
    <n v="104.93"/>
    <x v="7"/>
    <n v="4.5300000000000011"/>
    <x v="2"/>
  </r>
  <r>
    <x v="22"/>
    <n v="72.44"/>
    <x v="0"/>
    <n v="-37.960000000000008"/>
    <x v="2"/>
  </r>
  <r>
    <x v="23"/>
    <n v="105.65"/>
    <x v="4"/>
    <n v="-9.0499999999999972"/>
    <x v="2"/>
  </r>
  <r>
    <x v="24"/>
    <n v="84.62"/>
    <x v="6"/>
    <n v="-6.9099999999999966"/>
    <x v="2"/>
  </r>
  <r>
    <x v="25"/>
    <n v="98"/>
    <x v="6"/>
    <n v="2.1299999999999955"/>
    <x v="2"/>
  </r>
  <r>
    <x v="26"/>
    <n v="74.45"/>
    <x v="6"/>
    <n v="-8.2800000000000011"/>
    <x v="2"/>
  </r>
  <r>
    <x v="27"/>
    <n v="93.36"/>
    <x v="1"/>
    <n v="-15.480000000000004"/>
    <x v="2"/>
  </r>
  <r>
    <x v="28"/>
    <n v="72.08"/>
    <x v="6"/>
    <n v="-9.0000000000003411E-2"/>
    <x v="2"/>
  </r>
  <r>
    <x v="29"/>
    <n v="22.78"/>
    <x v="0"/>
    <n v="-40.61"/>
    <x v="2"/>
  </r>
  <r>
    <x v="30"/>
    <n v="33.9"/>
    <x v="0"/>
    <n v="-24.190000000000005"/>
    <x v="2"/>
  </r>
  <r>
    <x v="31"/>
    <n v="55.79"/>
    <x v="6"/>
    <n v="-1.8200000000000003"/>
    <x v="2"/>
  </r>
  <r>
    <x v="32"/>
    <n v="54.28"/>
    <x v="6"/>
    <n v="-2.1899999999999977"/>
    <x v="2"/>
  </r>
  <r>
    <x v="33"/>
    <n v="58.78"/>
    <x v="4"/>
    <n v="0.77000000000000313"/>
    <x v="2"/>
  </r>
  <r>
    <x v="34"/>
    <n v="51.49"/>
    <x v="6"/>
    <n v="-2.0899999999999963"/>
    <x v="2"/>
  </r>
  <r>
    <x v="35"/>
    <n v="55.42"/>
    <x v="0"/>
    <n v="-2.6099999999999994"/>
    <x v="2"/>
  </r>
  <r>
    <x v="36"/>
    <n v="61.06"/>
    <x v="8"/>
    <n v="7.2100000000000009"/>
    <x v="2"/>
  </r>
  <r>
    <x v="37"/>
    <n v="38.68"/>
    <x v="6"/>
    <n v="-1.2299999999999969"/>
    <x v="2"/>
  </r>
  <r>
    <x v="38"/>
    <n v="66.61"/>
    <x v="7"/>
    <n v="15.089999999999996"/>
    <x v="2"/>
  </r>
  <r>
    <x v="39"/>
    <n v="48.47"/>
    <x v="8"/>
    <n v="-5.4399999999999977"/>
    <x v="2"/>
  </r>
  <r>
    <x v="40"/>
    <n v="38.83"/>
    <x v="6"/>
    <n v="-0.95000000000000284"/>
    <x v="2"/>
  </r>
  <r>
    <x v="41"/>
    <n v="58.93"/>
    <x v="8"/>
    <n v="7.6199999999999974"/>
    <x v="2"/>
  </r>
  <r>
    <x v="42"/>
    <n v="42.32"/>
    <x v="8"/>
    <n v="-2.8599999999999994"/>
    <x v="2"/>
  </r>
  <r>
    <x v="43"/>
    <n v="36.89"/>
    <x v="4"/>
    <n v="4.7000000000000028"/>
    <x v="2"/>
  </r>
  <r>
    <x v="44"/>
    <n v="34.74"/>
    <x v="6"/>
    <n v="-9.9999999999980105E-3"/>
    <x v="2"/>
  </r>
  <r>
    <x v="45"/>
    <n v="34.659999999999997"/>
    <x v="8"/>
    <n v="2.2999999999999972"/>
    <x v="2"/>
  </r>
  <r>
    <x v="46"/>
    <n v="4.5999999999999996"/>
    <x v="9"/>
    <n v="-18.630000000000003"/>
    <x v="2"/>
  </r>
  <r>
    <x v="47"/>
    <n v="40.49"/>
    <x v="4"/>
    <n v="2.0000000000003126E-2"/>
    <x v="2"/>
  </r>
  <r>
    <x v="48"/>
    <n v="36.97"/>
    <x v="8"/>
    <n v="-0.46999999999999886"/>
    <x v="2"/>
  </r>
  <r>
    <x v="49"/>
    <n v="35.299999999999997"/>
    <x v="8"/>
    <n v="-2.1700000000000017"/>
    <x v="2"/>
  </r>
  <r>
    <x v="50"/>
    <n v="33.85"/>
    <x v="8"/>
    <n v="-1.25"/>
    <x v="2"/>
  </r>
  <r>
    <x v="51"/>
    <n v="32.049999999999997"/>
    <x v="8"/>
    <n v="-10.5"/>
    <x v="2"/>
  </r>
  <r>
    <x v="52"/>
    <n v="36.130000000000003"/>
    <x v="8"/>
    <n v="3.0600000000000023"/>
    <x v="2"/>
  </r>
  <r>
    <x v="53"/>
    <n v="22.71"/>
    <x v="6"/>
    <n v="-2.5399999999999991"/>
    <x v="2"/>
  </r>
  <r>
    <x v="54"/>
    <n v="32.97"/>
    <x v="8"/>
    <n v="3.7899999999999991"/>
    <x v="2"/>
  </r>
  <r>
    <x v="55"/>
    <n v="26.89"/>
    <x v="8"/>
    <n v="4.09"/>
    <x v="2"/>
  </r>
  <r>
    <x v="56"/>
    <n v="21.37"/>
    <x v="6"/>
    <n v="-2.3099999999999987"/>
    <x v="2"/>
  </r>
  <r>
    <x v="57"/>
    <n v="15.67"/>
    <x v="6"/>
    <n v="-7.1"/>
    <x v="2"/>
  </r>
  <r>
    <x v="58"/>
    <n v="60.48"/>
    <x v="8"/>
    <n v="-7.3900000000000077"/>
    <x v="2"/>
  </r>
  <r>
    <x v="59"/>
    <n v="15.09"/>
    <x v="6"/>
    <n v="-6.66"/>
    <x v="2"/>
  </r>
  <r>
    <x v="60"/>
    <n v="30.75"/>
    <x v="8"/>
    <n v="2.5100000000000016"/>
    <x v="2"/>
  </r>
  <r>
    <x v="61"/>
    <n v="18.510000000000002"/>
    <x v="4"/>
    <n v="-9.9999999999997868E-2"/>
    <x v="2"/>
  </r>
  <r>
    <x v="62"/>
    <n v="26.4"/>
    <x v="8"/>
    <n v="-3.2700000000000031"/>
    <x v="2"/>
  </r>
  <r>
    <x v="63"/>
    <n v="26.26"/>
    <x v="8"/>
    <n v="2.0600000000000023"/>
    <x v="2"/>
  </r>
  <r>
    <x v="64"/>
    <n v="20.16"/>
    <x v="8"/>
    <n v="3.8500000000000014"/>
    <x v="2"/>
  </r>
  <r>
    <x v="65"/>
    <n v="25.59"/>
    <x v="8"/>
    <n v="-2.9499999999999993"/>
    <x v="2"/>
  </r>
  <r>
    <x v="66"/>
    <n v="15.51"/>
    <x v="6"/>
    <n v="-1.0600000000000005"/>
    <x v="2"/>
  </r>
  <r>
    <x v="67"/>
    <n v="9.39"/>
    <x v="8"/>
    <n v="1.6600000000000001"/>
    <x v="2"/>
  </r>
  <r>
    <x v="68"/>
    <n v="18.73"/>
    <x v="8"/>
    <n v="0.85999999999999943"/>
    <x v="2"/>
  </r>
  <r>
    <x v="69"/>
    <n v="15.89"/>
    <x v="8"/>
    <n v="0.16000000000000014"/>
    <x v="2"/>
  </r>
  <r>
    <x v="70"/>
    <n v="18.12"/>
    <x v="8"/>
    <n v="1.6700000000000017"/>
    <x v="2"/>
  </r>
  <r>
    <x v="71"/>
    <n v="14.12"/>
    <x v="8"/>
    <n v="-0.38000000000000078"/>
    <x v="2"/>
  </r>
  <r>
    <x v="72"/>
    <n v="8.9499999999999993"/>
    <x v="6"/>
    <n v="-3.8000000000000007"/>
    <x v="2"/>
  </r>
  <r>
    <x v="73"/>
    <n v="16.48"/>
    <x v="8"/>
    <n v="2.370000000000001"/>
    <x v="2"/>
  </r>
  <r>
    <x v="74"/>
    <n v="5.51"/>
    <x v="0"/>
    <n v="-9"/>
    <x v="2"/>
  </r>
  <r>
    <x v="75"/>
    <n v="6.04"/>
    <x v="0"/>
    <n v="-16.84"/>
    <x v="2"/>
  </r>
  <r>
    <x v="76"/>
    <n v="9.6300000000000008"/>
    <x v="8"/>
    <n v="0.80000000000000071"/>
    <x v="2"/>
  </r>
  <r>
    <x v="77"/>
    <n v="12.08"/>
    <x v="9"/>
    <n v="-18.380000000000003"/>
    <x v="2"/>
  </r>
  <r>
    <x v="78"/>
    <n v="11.45"/>
    <x v="8"/>
    <n v="-0.44000000000000128"/>
    <x v="2"/>
  </r>
  <r>
    <x v="79"/>
    <n v="8.75"/>
    <x v="8"/>
    <n v="5.0000000000000711E-2"/>
    <x v="2"/>
  </r>
  <r>
    <x v="80"/>
    <n v="13.71"/>
    <x v="8"/>
    <n v="1.120000000000001"/>
    <x v="2"/>
  </r>
  <r>
    <x v="81"/>
    <n v="9.56"/>
    <x v="8"/>
    <n v="8.9999999999999858E-2"/>
    <x v="2"/>
  </r>
  <r>
    <x v="82"/>
    <n v="6.23"/>
    <x v="8"/>
    <n v="1.3400000000000007"/>
    <x v="2"/>
  </r>
  <r>
    <x v="83"/>
    <n v="15.72"/>
    <x v="8"/>
    <n v="1.7800000000000011"/>
    <x v="2"/>
  </r>
  <r>
    <x v="84"/>
    <n v="9.0299999999999994"/>
    <x v="8"/>
    <n v="1.4499999999999993"/>
    <x v="2"/>
  </r>
  <r>
    <x v="85"/>
    <n v="6.1"/>
    <x v="8"/>
    <n v="-0.4300000000000006"/>
    <x v="2"/>
  </r>
  <r>
    <x v="86"/>
    <n v="8.1300000000000008"/>
    <x v="4"/>
    <n v="3.2200000000000006"/>
    <x v="2"/>
  </r>
  <r>
    <x v="87"/>
    <n v="19.649999999999999"/>
    <x v="4"/>
    <n v="13.52"/>
    <x v="2"/>
  </r>
  <r>
    <x v="88"/>
    <n v="4.1399999999999997"/>
    <x v="9"/>
    <n v="-9.0000000000000746E-2"/>
    <x v="2"/>
  </r>
  <r>
    <x v="89"/>
    <n v="2.36"/>
    <x v="8"/>
    <n v="-1.4700000000000002"/>
    <x v="2"/>
  </r>
  <r>
    <x v="90"/>
    <n v="4.38"/>
    <x v="8"/>
    <n v="-0.12999999999999989"/>
    <x v="2"/>
  </r>
  <r>
    <x v="91"/>
    <n v="3.96"/>
    <x v="8"/>
    <n v="-1.21"/>
    <x v="2"/>
  </r>
  <r>
    <x v="92"/>
    <n v="2.4300000000000002"/>
    <x v="8"/>
    <n v="-9.9999999999999645E-2"/>
    <x v="2"/>
  </r>
  <r>
    <x v="93"/>
    <n v="2.3199999999999998"/>
    <x v="8"/>
    <n v="-2.0000000000000018E-2"/>
    <x v="2"/>
  </r>
  <r>
    <x v="94"/>
    <n v="2.68"/>
    <x v="8"/>
    <n v="-0.21999999999999975"/>
    <x v="2"/>
  </r>
  <r>
    <x v="95"/>
    <n v="1.38"/>
    <x v="0"/>
    <n v="-1.3900000000000001"/>
    <x v="2"/>
  </r>
  <r>
    <x v="96"/>
    <n v="1.38"/>
    <x v="8"/>
    <n v="-0.1100000000000001"/>
    <x v="2"/>
  </r>
  <r>
    <x v="97"/>
    <n v="13.14"/>
    <x v="0"/>
    <n v="-4.6499999999999986"/>
    <x v="2"/>
  </r>
  <r>
    <x v="98"/>
    <n v="0.99"/>
    <x v="4"/>
    <n v="0.94"/>
    <x v="2"/>
  </r>
  <r>
    <x v="99"/>
    <n v="0.35"/>
    <x v="4"/>
    <n v="-0.33999999999999997"/>
    <x v="2"/>
  </r>
  <r>
    <x v="100"/>
    <n v="0.06"/>
    <x v="9"/>
    <n v="-0.69"/>
    <x v="2"/>
  </r>
  <r>
    <x v="101"/>
    <n v="0.17"/>
    <x v="4"/>
    <n v="0"/>
    <x v="2"/>
  </r>
  <r>
    <x v="102"/>
    <n v="0.65"/>
    <x v="8"/>
    <n v="0.55000000000000004"/>
    <x v="2"/>
  </r>
  <r>
    <x v="103"/>
    <n v="0.02"/>
    <x v="8"/>
    <n v="0"/>
    <x v="2"/>
  </r>
  <r>
    <x v="104"/>
    <n v="1.93"/>
    <x v="9"/>
    <n v="-40.99"/>
    <x v="2"/>
  </r>
  <r>
    <x v="105"/>
    <n v="80.16"/>
    <x v="6"/>
    <n v="43.599999999999994"/>
    <x v="2"/>
  </r>
  <r>
    <x v="106"/>
    <n v="13.45"/>
    <x v="9"/>
    <n v="-13.260000000000002"/>
    <x v="2"/>
  </r>
  <r>
    <x v="107"/>
    <n v="19.11"/>
    <x v="9"/>
    <n v="0.98999999999999844"/>
    <x v="2"/>
  </r>
  <r>
    <x v="108"/>
    <n v="10.55"/>
    <x v="0"/>
    <n v="-3.41"/>
    <x v="2"/>
  </r>
  <r>
    <x v="109"/>
    <n v="6.98"/>
    <x v="6"/>
    <n v="2.0600000000000005"/>
    <x v="2"/>
  </r>
  <r>
    <x v="110"/>
    <n v="52.75"/>
    <x v="9"/>
    <n v="51.46"/>
    <x v="2"/>
  </r>
  <r>
    <x v="111"/>
    <n v="215.83"/>
    <x v="7"/>
    <n v="215.83"/>
    <x v="2"/>
  </r>
  <r>
    <x v="112"/>
    <n v="18.170000000000002"/>
    <x v="9"/>
    <n v="18.170000000000002"/>
    <x v="2"/>
  </r>
  <r>
    <x v="113"/>
    <n v="15.93"/>
    <x v="7"/>
    <n v="15.93"/>
    <x v="2"/>
  </r>
  <r>
    <x v="114"/>
    <n v="17.25"/>
    <x v="7"/>
    <n v="17.25"/>
    <x v="2"/>
  </r>
  <r>
    <x v="115"/>
    <n v="13.38"/>
    <x v="7"/>
    <n v="13.38"/>
    <x v="2"/>
  </r>
  <r>
    <x v="116"/>
    <n v="11.18"/>
    <x v="9"/>
    <n v="11.18"/>
    <x v="2"/>
  </r>
  <r>
    <x v="117"/>
    <n v="10.78"/>
    <x v="9"/>
    <n v="10.78"/>
    <x v="2"/>
  </r>
  <r>
    <x v="118"/>
    <n v="9.68"/>
    <x v="7"/>
    <n v="9.68"/>
    <x v="2"/>
  </r>
  <r>
    <x v="119"/>
    <n v="8.75"/>
    <x v="9"/>
    <n v="8.75"/>
    <x v="2"/>
  </r>
  <r>
    <x v="120"/>
    <n v="6.33"/>
    <x v="9"/>
    <n v="6.33"/>
    <x v="2"/>
  </r>
  <r>
    <x v="121"/>
    <n v="4.28"/>
    <x v="0"/>
    <n v="4.28"/>
    <x v="2"/>
  </r>
  <r>
    <x v="122"/>
    <n v="1.96"/>
    <x v="7"/>
    <n v="1.96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n v="1676.84"/>
    <x v="0"/>
    <n v="1676.84"/>
    <x v="0"/>
  </r>
  <r>
    <x v="1"/>
    <n v="1554.79"/>
    <x v="0"/>
    <n v="1554.79"/>
    <x v="0"/>
  </r>
  <r>
    <x v="2"/>
    <n v="1244.58"/>
    <x v="1"/>
    <n v="1244.58"/>
    <x v="0"/>
  </r>
  <r>
    <x v="3"/>
    <n v="425.48"/>
    <x v="1"/>
    <n v="425.48"/>
    <x v="0"/>
  </r>
  <r>
    <x v="4"/>
    <n v="377.36"/>
    <x v="2"/>
    <n v="377.36"/>
    <x v="0"/>
  </r>
  <r>
    <x v="5"/>
    <n v="329.63"/>
    <x v="3"/>
    <n v="329.63"/>
    <x v="0"/>
  </r>
  <r>
    <x v="6"/>
    <n v="260.43"/>
    <x v="4"/>
    <n v="260.43"/>
    <x v="0"/>
  </r>
  <r>
    <x v="7"/>
    <n v="254.52"/>
    <x v="5"/>
    <n v="254.52"/>
    <x v="0"/>
  </r>
  <r>
    <x v="8"/>
    <n v="248.71"/>
    <x v="1"/>
    <n v="248.71"/>
    <x v="0"/>
  </r>
  <r>
    <x v="9"/>
    <n v="202.46"/>
    <x v="2"/>
    <n v="202.46"/>
    <x v="0"/>
  </r>
  <r>
    <x v="10"/>
    <n v="199.49"/>
    <x v="0"/>
    <n v="199.49"/>
    <x v="0"/>
  </r>
  <r>
    <x v="11"/>
    <n v="187.51"/>
    <x v="2"/>
    <n v="187.51"/>
    <x v="0"/>
  </r>
  <r>
    <x v="12"/>
    <n v="185.42"/>
    <x v="1"/>
    <n v="185.42"/>
    <x v="0"/>
  </r>
  <r>
    <x v="13"/>
    <n v="176.84"/>
    <x v="0"/>
    <n v="176.84"/>
    <x v="0"/>
  </r>
  <r>
    <x v="14"/>
    <n v="168.03"/>
    <x v="0"/>
    <n v="168.03"/>
    <x v="0"/>
  </r>
  <r>
    <x v="15"/>
    <n v="167.55"/>
    <x v="1"/>
    <n v="167.55"/>
    <x v="0"/>
  </r>
  <r>
    <x v="16"/>
    <n v="147.41"/>
    <x v="0"/>
    <n v="147.41"/>
    <x v="0"/>
  </r>
  <r>
    <x v="17"/>
    <n v="139.13999999999999"/>
    <x v="0"/>
    <n v="139.13999999999999"/>
    <x v="0"/>
  </r>
  <r>
    <x v="18"/>
    <n v="116.24"/>
    <x v="1"/>
    <n v="116.24"/>
    <x v="0"/>
  </r>
  <r>
    <x v="19"/>
    <n v="108.42"/>
    <x v="6"/>
    <n v="108.42"/>
    <x v="0"/>
  </r>
  <r>
    <x v="20"/>
    <n v="107.08"/>
    <x v="6"/>
    <n v="107.08"/>
    <x v="0"/>
  </r>
  <r>
    <x v="21"/>
    <n v="106.45"/>
    <x v="7"/>
    <n v="106.45"/>
    <x v="0"/>
  </r>
  <r>
    <x v="22"/>
    <n v="100.1"/>
    <x v="0"/>
    <n v="100.1"/>
    <x v="0"/>
  </r>
  <r>
    <x v="23"/>
    <n v="100.52"/>
    <x v="4"/>
    <n v="100.52"/>
    <x v="0"/>
  </r>
  <r>
    <x v="24"/>
    <n v="96.18"/>
    <x v="6"/>
    <n v="96.18"/>
    <x v="0"/>
  </r>
  <r>
    <x v="25"/>
    <n v="92.7"/>
    <x v="6"/>
    <n v="92.7"/>
    <x v="0"/>
  </r>
  <r>
    <x v="26"/>
    <n v="87.38"/>
    <x v="6"/>
    <n v="87.38"/>
    <x v="0"/>
  </r>
  <r>
    <x v="27"/>
    <n v="83.2"/>
    <x v="1"/>
    <n v="83.2"/>
    <x v="0"/>
  </r>
  <r>
    <x v="28"/>
    <n v="75.97"/>
    <x v="6"/>
    <n v="75.97"/>
    <x v="0"/>
  </r>
  <r>
    <x v="29"/>
    <n v="72.03"/>
    <x v="0"/>
    <n v="72.03"/>
    <x v="0"/>
  </r>
  <r>
    <x v="30"/>
    <n v="70.010000000000005"/>
    <x v="0"/>
    <n v="70.010000000000005"/>
    <x v="0"/>
  </r>
  <r>
    <x v="31"/>
    <n v="60.07"/>
    <x v="6"/>
    <n v="60.07"/>
    <x v="0"/>
  </r>
  <r>
    <x v="32"/>
    <n v="57.69"/>
    <x v="6"/>
    <n v="57.69"/>
    <x v="0"/>
  </r>
  <r>
    <x v="33"/>
    <n v="57.42"/>
    <x v="4"/>
    <n v="57.42"/>
    <x v="0"/>
  </r>
  <r>
    <x v="34"/>
    <n v="52.8"/>
    <x v="6"/>
    <n v="52.8"/>
    <x v="0"/>
  </r>
  <r>
    <x v="35"/>
    <n v="45.53"/>
    <x v="0"/>
    <n v="45.53"/>
    <x v="0"/>
  </r>
  <r>
    <x v="36"/>
    <n v="44.6"/>
    <x v="8"/>
    <n v="44.6"/>
    <x v="0"/>
  </r>
  <r>
    <x v="37"/>
    <n v="42.46"/>
    <x v="6"/>
    <n v="42.46"/>
    <x v="0"/>
  </r>
  <r>
    <x v="38"/>
    <n v="42.19"/>
    <x v="7"/>
    <n v="42.19"/>
    <x v="0"/>
  </r>
  <r>
    <x v="39"/>
    <n v="42.19"/>
    <x v="8"/>
    <n v="42.19"/>
    <x v="0"/>
  </r>
  <r>
    <x v="40"/>
    <n v="41.75"/>
    <x v="6"/>
    <n v="41.75"/>
    <x v="0"/>
  </r>
  <r>
    <x v="41"/>
    <n v="39.4"/>
    <x v="8"/>
    <n v="39.4"/>
    <x v="0"/>
  </r>
  <r>
    <x v="42"/>
    <n v="38.83"/>
    <x v="8"/>
    <n v="38.83"/>
    <x v="0"/>
  </r>
  <r>
    <x v="43"/>
    <n v="38.65"/>
    <x v="4"/>
    <n v="38.65"/>
    <x v="0"/>
  </r>
  <r>
    <x v="44"/>
    <n v="34.82"/>
    <x v="6"/>
    <n v="34.82"/>
    <x v="0"/>
  </r>
  <r>
    <x v="45"/>
    <n v="33.340000000000003"/>
    <x v="8"/>
    <n v="33.340000000000003"/>
    <x v="0"/>
  </r>
  <r>
    <x v="46"/>
    <n v="33.04"/>
    <x v="9"/>
    <n v="33.04"/>
    <x v="0"/>
  </r>
  <r>
    <x v="47"/>
    <n v="32.590000000000003"/>
    <x v="4"/>
    <n v="32.590000000000003"/>
    <x v="0"/>
  </r>
  <r>
    <x v="48"/>
    <n v="32.35"/>
    <x v="8"/>
    <n v="32.35"/>
    <x v="0"/>
  </r>
  <r>
    <x v="49"/>
    <n v="30.82"/>
    <x v="8"/>
    <n v="30.82"/>
    <x v="0"/>
  </r>
  <r>
    <x v="50"/>
    <n v="30.81"/>
    <x v="8"/>
    <n v="30.81"/>
    <x v="0"/>
  </r>
  <r>
    <x v="51"/>
    <n v="30.04"/>
    <x v="8"/>
    <n v="30.04"/>
    <x v="0"/>
  </r>
  <r>
    <x v="52"/>
    <n v="29.01"/>
    <x v="8"/>
    <n v="29.01"/>
    <x v="0"/>
  </r>
  <r>
    <x v="53"/>
    <n v="28.5"/>
    <x v="6"/>
    <n v="28.5"/>
    <x v="0"/>
  </r>
  <r>
    <x v="54"/>
    <n v="26.67"/>
    <x v="8"/>
    <n v="26.67"/>
    <x v="0"/>
  </r>
  <r>
    <x v="55"/>
    <n v="24.8"/>
    <x v="8"/>
    <n v="24.8"/>
    <x v="0"/>
  </r>
  <r>
    <x v="56"/>
    <n v="24.76"/>
    <x v="6"/>
    <n v="24.76"/>
    <x v="0"/>
  </r>
  <r>
    <x v="57"/>
    <n v="23.58"/>
    <x v="6"/>
    <n v="23.58"/>
    <x v="0"/>
  </r>
  <r>
    <x v="58"/>
    <n v="23.45"/>
    <x v="8"/>
    <n v="23.45"/>
    <x v="0"/>
  </r>
  <r>
    <x v="59"/>
    <n v="22.55"/>
    <x v="6"/>
    <n v="22.55"/>
    <x v="0"/>
  </r>
  <r>
    <x v="60"/>
    <n v="22.45"/>
    <x v="8"/>
    <n v="22.45"/>
    <x v="0"/>
  </r>
  <r>
    <x v="61"/>
    <n v="21.73"/>
    <x v="4"/>
    <n v="21.73"/>
    <x v="0"/>
  </r>
  <r>
    <x v="62"/>
    <n v="20.420000000000002"/>
    <x v="8"/>
    <n v="20.420000000000002"/>
    <x v="0"/>
  </r>
  <r>
    <x v="63"/>
    <n v="20"/>
    <x v="8"/>
    <n v="20"/>
    <x v="0"/>
  </r>
  <r>
    <x v="64"/>
    <n v="19.440000000000001"/>
    <x v="8"/>
    <n v="19.440000000000001"/>
    <x v="0"/>
  </r>
  <r>
    <x v="65"/>
    <n v="18.7"/>
    <x v="8"/>
    <n v="18.7"/>
    <x v="0"/>
  </r>
  <r>
    <x v="66"/>
    <n v="17.600000000000001"/>
    <x v="6"/>
    <n v="17.600000000000001"/>
    <x v="0"/>
  </r>
  <r>
    <x v="67"/>
    <n v="15.37"/>
    <x v="8"/>
    <n v="15.37"/>
    <x v="0"/>
  </r>
  <r>
    <x v="68"/>
    <n v="15.12"/>
    <x v="8"/>
    <n v="15.12"/>
    <x v="0"/>
  </r>
  <r>
    <x v="69"/>
    <n v="15.05"/>
    <x v="8"/>
    <n v="15.05"/>
    <x v="0"/>
  </r>
  <r>
    <x v="70"/>
    <n v="14.33"/>
    <x v="8"/>
    <n v="14.33"/>
    <x v="0"/>
  </r>
  <r>
    <x v="71"/>
    <n v="13.28"/>
    <x v="8"/>
    <n v="13.28"/>
    <x v="0"/>
  </r>
  <r>
    <x v="72"/>
    <n v="12.99"/>
    <x v="6"/>
    <n v="12.99"/>
    <x v="0"/>
  </r>
  <r>
    <x v="73"/>
    <n v="12.6"/>
    <x v="8"/>
    <n v="12.6"/>
    <x v="0"/>
  </r>
  <r>
    <x v="74"/>
    <n v="12.21"/>
    <x v="0"/>
    <n v="12.21"/>
    <x v="0"/>
  </r>
  <r>
    <x v="75"/>
    <n v="10.28"/>
    <x v="0"/>
    <n v="10.28"/>
    <x v="0"/>
  </r>
  <r>
    <x v="76"/>
    <n v="9.52"/>
    <x v="8"/>
    <n v="9.52"/>
    <x v="0"/>
  </r>
  <r>
    <x v="77"/>
    <n v="9"/>
    <x v="9"/>
    <n v="9"/>
    <x v="0"/>
  </r>
  <r>
    <x v="78"/>
    <n v="8.82"/>
    <x v="8"/>
    <n v="8.82"/>
    <x v="0"/>
  </r>
  <r>
    <x v="79"/>
    <n v="8.2200000000000006"/>
    <x v="8"/>
    <n v="8.2200000000000006"/>
    <x v="0"/>
  </r>
  <r>
    <x v="80"/>
    <n v="8.0299999999999994"/>
    <x v="8"/>
    <n v="8.0299999999999994"/>
    <x v="0"/>
  </r>
  <r>
    <x v="81"/>
    <n v="7.52"/>
    <x v="8"/>
    <n v="7.52"/>
    <x v="0"/>
  </r>
  <r>
    <x v="82"/>
    <n v="7.33"/>
    <x v="8"/>
    <n v="7.33"/>
    <x v="0"/>
  </r>
  <r>
    <x v="83"/>
    <n v="7.26"/>
    <x v="8"/>
    <n v="7.26"/>
    <x v="0"/>
  </r>
  <r>
    <x v="84"/>
    <n v="6.51"/>
    <x v="8"/>
    <n v="6.51"/>
    <x v="0"/>
  </r>
  <r>
    <x v="85"/>
    <n v="6.16"/>
    <x v="8"/>
    <n v="6.16"/>
    <x v="0"/>
  </r>
  <r>
    <x v="86"/>
    <n v="5.28"/>
    <x v="4"/>
    <n v="5.28"/>
    <x v="0"/>
  </r>
  <r>
    <x v="87"/>
    <n v="5.27"/>
    <x v="4"/>
    <n v="5.27"/>
    <x v="0"/>
  </r>
  <r>
    <x v="88"/>
    <n v="4.1399999999999997"/>
    <x v="9"/>
    <n v="4.1399999999999997"/>
    <x v="0"/>
  </r>
  <r>
    <x v="89"/>
    <n v="3.79"/>
    <x v="8"/>
    <n v="3.79"/>
    <x v="0"/>
  </r>
  <r>
    <x v="90"/>
    <n v="3.68"/>
    <x v="8"/>
    <n v="3.68"/>
    <x v="0"/>
  </r>
  <r>
    <x v="91"/>
    <n v="3.58"/>
    <x v="8"/>
    <n v="3.58"/>
    <x v="0"/>
  </r>
  <r>
    <x v="92"/>
    <n v="3.53"/>
    <x v="8"/>
    <n v="3.53"/>
    <x v="0"/>
  </r>
  <r>
    <x v="93"/>
    <n v="3.1"/>
    <x v="8"/>
    <n v="3.1"/>
    <x v="0"/>
  </r>
  <r>
    <x v="94"/>
    <n v="2.59"/>
    <x v="8"/>
    <n v="2.59"/>
    <x v="0"/>
  </r>
  <r>
    <x v="95"/>
    <n v="2.35"/>
    <x v="0"/>
    <n v="2.35"/>
    <x v="0"/>
  </r>
  <r>
    <x v="96"/>
    <n v="1.38"/>
    <x v="8"/>
    <n v="1.38"/>
    <x v="0"/>
  </r>
  <r>
    <x v="97"/>
    <n v="1.29"/>
    <x v="0"/>
    <n v="1.29"/>
    <x v="0"/>
  </r>
  <r>
    <x v="98"/>
    <n v="1.08"/>
    <x v="4"/>
    <n v="1.08"/>
    <x v="0"/>
  </r>
  <r>
    <x v="99"/>
    <n v="0.47"/>
    <x v="4"/>
    <n v="0.47"/>
    <x v="0"/>
  </r>
  <r>
    <x v="100"/>
    <n v="0.28999999999999998"/>
    <x v="9"/>
    <n v="0.28999999999999998"/>
    <x v="0"/>
  </r>
  <r>
    <x v="101"/>
    <n v="0.17"/>
    <x v="4"/>
    <n v="0.17"/>
    <x v="0"/>
  </r>
  <r>
    <x v="102"/>
    <n v="0.1"/>
    <x v="8"/>
    <n v="0.1"/>
    <x v="0"/>
  </r>
  <r>
    <x v="103"/>
    <n v="0.02"/>
    <x v="8"/>
    <n v="0.02"/>
    <x v="0"/>
  </r>
  <r>
    <x v="104"/>
    <n v="42.92"/>
    <x v="9"/>
    <n v="42.92"/>
    <x v="0"/>
  </r>
  <r>
    <x v="105"/>
    <n v="36.56"/>
    <x v="6"/>
    <n v="36.56"/>
    <x v="0"/>
  </r>
  <r>
    <x v="106"/>
    <n v="26.71"/>
    <x v="9"/>
    <n v="26.71"/>
    <x v="0"/>
  </r>
  <r>
    <x v="107"/>
    <n v="18.12"/>
    <x v="9"/>
    <n v="18.12"/>
    <x v="0"/>
  </r>
  <r>
    <x v="108"/>
    <n v="13.96"/>
    <x v="0"/>
    <n v="13.96"/>
    <x v="0"/>
  </r>
  <r>
    <x v="109"/>
    <n v="4.92"/>
    <x v="6"/>
    <n v="4.92"/>
    <x v="0"/>
  </r>
  <r>
    <x v="110"/>
    <n v="1.29"/>
    <x v="9"/>
    <n v="1.29"/>
    <x v="0"/>
  </r>
  <r>
    <x v="0"/>
    <n v="1707.98"/>
    <x v="0"/>
    <n v="31.1400000000001"/>
    <x v="1"/>
  </r>
  <r>
    <x v="1"/>
    <n v="1432.22"/>
    <x v="0"/>
    <n v="-122.56999999999994"/>
    <x v="1"/>
  </r>
  <r>
    <x v="2"/>
    <n v="1478.75"/>
    <x v="1"/>
    <n v="234.17000000000007"/>
    <x v="1"/>
  </r>
  <r>
    <x v="3"/>
    <n v="469.29"/>
    <x v="1"/>
    <n v="43.81"/>
    <x v="1"/>
  </r>
  <r>
    <x v="4"/>
    <n v="342.84"/>
    <x v="2"/>
    <n v="-34.520000000000039"/>
    <x v="1"/>
  </r>
  <r>
    <x v="5"/>
    <n v="358.11"/>
    <x v="3"/>
    <n v="28.480000000000018"/>
    <x v="1"/>
  </r>
  <r>
    <x v="6"/>
    <n v="4.7699999999999996"/>
    <x v="4"/>
    <n v="-255.66"/>
    <x v="1"/>
  </r>
  <r>
    <x v="7"/>
    <n v="241.48"/>
    <x v="5"/>
    <n v="-13.04000000000002"/>
    <x v="1"/>
  </r>
  <r>
    <x v="8"/>
    <n v="340.14"/>
    <x v="1"/>
    <n v="91.429999999999978"/>
    <x v="1"/>
  </r>
  <r>
    <x v="9"/>
    <n v="163.58000000000001"/>
    <x v="2"/>
    <n v="-38.879999999999995"/>
    <x v="1"/>
  </r>
  <r>
    <x v="10"/>
    <n v="218.7"/>
    <x v="0"/>
    <n v="19.20999999999998"/>
    <x v="1"/>
  </r>
  <r>
    <x v="11"/>
    <n v="157.63999999999999"/>
    <x v="2"/>
    <n v="-29.870000000000005"/>
    <x v="1"/>
  </r>
  <r>
    <x v="12"/>
    <n v="214.2"/>
    <x v="1"/>
    <n v="28.78"/>
    <x v="1"/>
  </r>
  <r>
    <x v="13"/>
    <n v="180.19"/>
    <x v="0"/>
    <n v="3.3499999999999943"/>
    <x v="1"/>
  </r>
  <r>
    <x v="14"/>
    <n v="223.6"/>
    <x v="0"/>
    <n v="55.569999999999993"/>
    <x v="1"/>
  </r>
  <r>
    <x v="15"/>
    <n v="201.44"/>
    <x v="1"/>
    <n v="33.889999999999986"/>
    <x v="1"/>
  </r>
  <r>
    <x v="16"/>
    <n v="178.83"/>
    <x v="0"/>
    <n v="31.420000000000016"/>
    <x v="1"/>
  </r>
  <r>
    <x v="17"/>
    <n v="142.63"/>
    <x v="0"/>
    <n v="3.4900000000000091"/>
    <x v="1"/>
  </r>
  <r>
    <x v="18"/>
    <n v="128.38"/>
    <x v="1"/>
    <n v="12.14"/>
    <x v="1"/>
  </r>
  <r>
    <x v="19"/>
    <n v="105.85"/>
    <x v="6"/>
    <n v="-2.5700000000000074"/>
    <x v="1"/>
  </r>
  <r>
    <x v="20"/>
    <n v="107.38"/>
    <x v="6"/>
    <n v="0.29999999999999716"/>
    <x v="1"/>
  </r>
  <r>
    <x v="21"/>
    <n v="100.4"/>
    <x v="7"/>
    <n v="-6.0499999999999972"/>
    <x v="1"/>
  </r>
  <r>
    <x v="22"/>
    <n v="110.4"/>
    <x v="0"/>
    <n v="10.300000000000011"/>
    <x v="1"/>
  </r>
  <r>
    <x v="23"/>
    <n v="114.7"/>
    <x v="4"/>
    <n v="14.180000000000007"/>
    <x v="1"/>
  </r>
  <r>
    <x v="24"/>
    <n v="91.53"/>
    <x v="6"/>
    <n v="-4.6500000000000057"/>
    <x v="1"/>
  </r>
  <r>
    <x v="25"/>
    <n v="95.87"/>
    <x v="6"/>
    <n v="3.1700000000000017"/>
    <x v="1"/>
  </r>
  <r>
    <x v="26"/>
    <n v="82.73"/>
    <x v="6"/>
    <n v="-4.6499999999999915"/>
    <x v="1"/>
  </r>
  <r>
    <x v="27"/>
    <n v="108.84"/>
    <x v="1"/>
    <n v="25.64"/>
    <x v="1"/>
  </r>
  <r>
    <x v="28"/>
    <n v="72.17"/>
    <x v="6"/>
    <n v="-3.7999999999999972"/>
    <x v="1"/>
  </r>
  <r>
    <x v="29"/>
    <n v="63.39"/>
    <x v="0"/>
    <n v="-8.64"/>
    <x v="1"/>
  </r>
  <r>
    <x v="30"/>
    <n v="58.09"/>
    <x v="0"/>
    <n v="-11.920000000000002"/>
    <x v="1"/>
  </r>
  <r>
    <x v="31"/>
    <n v="57.61"/>
    <x v="6"/>
    <n v="-2.4600000000000009"/>
    <x v="1"/>
  </r>
  <r>
    <x v="32"/>
    <n v="56.47"/>
    <x v="6"/>
    <n v="-1.2199999999999989"/>
    <x v="1"/>
  </r>
  <r>
    <x v="33"/>
    <n v="58.01"/>
    <x v="4"/>
    <n v="0.58999999999999631"/>
    <x v="1"/>
  </r>
  <r>
    <x v="34"/>
    <n v="53.58"/>
    <x v="6"/>
    <n v="0.78000000000000114"/>
    <x v="1"/>
  </r>
  <r>
    <x v="35"/>
    <n v="58.03"/>
    <x v="0"/>
    <n v="12.5"/>
    <x v="1"/>
  </r>
  <r>
    <x v="36"/>
    <n v="53.85"/>
    <x v="8"/>
    <n v="9.25"/>
    <x v="1"/>
  </r>
  <r>
    <x v="37"/>
    <n v="39.909999999999997"/>
    <x v="6"/>
    <n v="-2.5500000000000043"/>
    <x v="1"/>
  </r>
  <r>
    <x v="38"/>
    <n v="51.52"/>
    <x v="7"/>
    <n v="9.3300000000000054"/>
    <x v="1"/>
  </r>
  <r>
    <x v="39"/>
    <n v="53.91"/>
    <x v="8"/>
    <n v="11.719999999999999"/>
    <x v="1"/>
  </r>
  <r>
    <x v="40"/>
    <n v="39.78"/>
    <x v="6"/>
    <n v="-1.9699999999999989"/>
    <x v="1"/>
  </r>
  <r>
    <x v="41"/>
    <n v="51.31"/>
    <x v="8"/>
    <n v="11.910000000000004"/>
    <x v="1"/>
  </r>
  <r>
    <x v="42"/>
    <n v="45.18"/>
    <x v="8"/>
    <n v="6.3500000000000014"/>
    <x v="1"/>
  </r>
  <r>
    <x v="43"/>
    <n v="32.19"/>
    <x v="4"/>
    <n v="-6.4600000000000009"/>
    <x v="1"/>
  </r>
  <r>
    <x v="44"/>
    <n v="34.75"/>
    <x v="6"/>
    <n v="-7.0000000000000284E-2"/>
    <x v="1"/>
  </r>
  <r>
    <x v="45"/>
    <n v="32.36"/>
    <x v="8"/>
    <n v="-0.98000000000000398"/>
    <x v="1"/>
  </r>
  <r>
    <x v="46"/>
    <n v="23.23"/>
    <x v="9"/>
    <n v="-9.8099999999999987"/>
    <x v="1"/>
  </r>
  <r>
    <x v="47"/>
    <n v="40.47"/>
    <x v="4"/>
    <n v="7.8799999999999955"/>
    <x v="1"/>
  </r>
  <r>
    <x v="48"/>
    <n v="37.44"/>
    <x v="8"/>
    <n v="5.0899999999999963"/>
    <x v="1"/>
  </r>
  <r>
    <x v="49"/>
    <n v="37.47"/>
    <x v="8"/>
    <n v="6.6499999999999986"/>
    <x v="1"/>
  </r>
  <r>
    <x v="50"/>
    <n v="35.1"/>
    <x v="8"/>
    <n v="4.2900000000000027"/>
    <x v="1"/>
  </r>
  <r>
    <x v="51"/>
    <n v="42.55"/>
    <x v="8"/>
    <n v="12.509999999999998"/>
    <x v="1"/>
  </r>
  <r>
    <x v="52"/>
    <n v="33.07"/>
    <x v="8"/>
    <n v="4.0599999999999987"/>
    <x v="1"/>
  </r>
  <r>
    <x v="53"/>
    <n v="25.25"/>
    <x v="6"/>
    <n v="-3.25"/>
    <x v="1"/>
  </r>
  <r>
    <x v="54"/>
    <n v="29.18"/>
    <x v="8"/>
    <n v="2.509999999999998"/>
    <x v="1"/>
  </r>
  <r>
    <x v="55"/>
    <n v="22.8"/>
    <x v="8"/>
    <n v="-2"/>
    <x v="1"/>
  </r>
  <r>
    <x v="56"/>
    <n v="23.68"/>
    <x v="6"/>
    <n v="-1.0800000000000018"/>
    <x v="1"/>
  </r>
  <r>
    <x v="57"/>
    <n v="22.77"/>
    <x v="6"/>
    <n v="-0.80999999999999872"/>
    <x v="1"/>
  </r>
  <r>
    <x v="58"/>
    <n v="67.87"/>
    <x v="8"/>
    <n v="44.42"/>
    <x v="1"/>
  </r>
  <r>
    <x v="59"/>
    <n v="21.75"/>
    <x v="6"/>
    <n v="-0.80000000000000071"/>
    <x v="1"/>
  </r>
  <r>
    <x v="60"/>
    <n v="28.24"/>
    <x v="8"/>
    <n v="5.7899999999999991"/>
    <x v="1"/>
  </r>
  <r>
    <x v="61"/>
    <n v="18.61"/>
    <x v="4"/>
    <n v="-3.120000000000001"/>
    <x v="1"/>
  </r>
  <r>
    <x v="62"/>
    <n v="29.67"/>
    <x v="8"/>
    <n v="9.25"/>
    <x v="1"/>
  </r>
  <r>
    <x v="63"/>
    <n v="24.2"/>
    <x v="8"/>
    <n v="4.1999999999999993"/>
    <x v="1"/>
  </r>
  <r>
    <x v="64"/>
    <n v="16.309999999999999"/>
    <x v="8"/>
    <n v="-3.1300000000000026"/>
    <x v="1"/>
  </r>
  <r>
    <x v="65"/>
    <n v="28.54"/>
    <x v="8"/>
    <n v="9.84"/>
    <x v="1"/>
  </r>
  <r>
    <x v="66"/>
    <n v="16.57"/>
    <x v="6"/>
    <n v="-1.0300000000000011"/>
    <x v="1"/>
  </r>
  <r>
    <x v="67"/>
    <n v="7.73"/>
    <x v="8"/>
    <n v="-7.6399999999999988"/>
    <x v="1"/>
  </r>
  <r>
    <x v="68"/>
    <n v="17.87"/>
    <x v="8"/>
    <n v="2.7500000000000018"/>
    <x v="1"/>
  </r>
  <r>
    <x v="69"/>
    <n v="15.73"/>
    <x v="8"/>
    <n v="0.67999999999999972"/>
    <x v="1"/>
  </r>
  <r>
    <x v="70"/>
    <n v="16.45"/>
    <x v="8"/>
    <n v="2.1199999999999992"/>
    <x v="1"/>
  </r>
  <r>
    <x v="71"/>
    <n v="14.5"/>
    <x v="8"/>
    <n v="1.2200000000000006"/>
    <x v="1"/>
  </r>
  <r>
    <x v="72"/>
    <n v="12.75"/>
    <x v="6"/>
    <n v="-0.24000000000000021"/>
    <x v="1"/>
  </r>
  <r>
    <x v="73"/>
    <n v="14.11"/>
    <x v="8"/>
    <n v="1.5099999999999998"/>
    <x v="1"/>
  </r>
  <r>
    <x v="74"/>
    <n v="14.51"/>
    <x v="0"/>
    <n v="2.2999999999999989"/>
    <x v="1"/>
  </r>
  <r>
    <x v="75"/>
    <n v="22.88"/>
    <x v="0"/>
    <n v="12.6"/>
    <x v="1"/>
  </r>
  <r>
    <x v="76"/>
    <n v="8.83"/>
    <x v="8"/>
    <n v="-0.6899999999999995"/>
    <x v="1"/>
  </r>
  <r>
    <x v="77"/>
    <n v="30.46"/>
    <x v="9"/>
    <n v="21.46"/>
    <x v="1"/>
  </r>
  <r>
    <x v="78"/>
    <n v="11.89"/>
    <x v="8"/>
    <n v="3.0700000000000003"/>
    <x v="1"/>
  </r>
  <r>
    <x v="79"/>
    <n v="8.6999999999999993"/>
    <x v="8"/>
    <n v="0.47999999999999865"/>
    <x v="1"/>
  </r>
  <r>
    <x v="80"/>
    <n v="12.59"/>
    <x v="8"/>
    <n v="4.5600000000000005"/>
    <x v="1"/>
  </r>
  <r>
    <x v="81"/>
    <n v="9.4700000000000006"/>
    <x v="8"/>
    <n v="1.9500000000000011"/>
    <x v="1"/>
  </r>
  <r>
    <x v="82"/>
    <n v="4.8899999999999997"/>
    <x v="8"/>
    <n v="-2.4400000000000004"/>
    <x v="1"/>
  </r>
  <r>
    <x v="83"/>
    <n v="13.94"/>
    <x v="8"/>
    <n v="6.68"/>
    <x v="1"/>
  </r>
  <r>
    <x v="84"/>
    <n v="7.58"/>
    <x v="8"/>
    <n v="1.0700000000000003"/>
    <x v="1"/>
  </r>
  <r>
    <x v="85"/>
    <n v="6.53"/>
    <x v="8"/>
    <n v="0.37000000000000011"/>
    <x v="1"/>
  </r>
  <r>
    <x v="86"/>
    <n v="4.91"/>
    <x v="4"/>
    <n v="-0.37000000000000011"/>
    <x v="1"/>
  </r>
  <r>
    <x v="87"/>
    <n v="6.13"/>
    <x v="4"/>
    <n v="0.86000000000000032"/>
    <x v="1"/>
  </r>
  <r>
    <x v="88"/>
    <n v="4.2300000000000004"/>
    <x v="9"/>
    <n v="9.0000000000000746E-2"/>
    <x v="1"/>
  </r>
  <r>
    <x v="89"/>
    <n v="3.83"/>
    <x v="8"/>
    <n v="4.0000000000000036E-2"/>
    <x v="1"/>
  </r>
  <r>
    <x v="90"/>
    <n v="4.51"/>
    <x v="8"/>
    <n v="0.82999999999999963"/>
    <x v="1"/>
  </r>
  <r>
    <x v="91"/>
    <n v="5.17"/>
    <x v="8"/>
    <n v="1.5899999999999999"/>
    <x v="1"/>
  </r>
  <r>
    <x v="92"/>
    <n v="2.5299999999999998"/>
    <x v="8"/>
    <n v="-1"/>
    <x v="1"/>
  </r>
  <r>
    <x v="93"/>
    <n v="2.34"/>
    <x v="8"/>
    <n v="-0.76000000000000023"/>
    <x v="1"/>
  </r>
  <r>
    <x v="94"/>
    <n v="2.9"/>
    <x v="8"/>
    <n v="0.31000000000000005"/>
    <x v="1"/>
  </r>
  <r>
    <x v="95"/>
    <n v="2.77"/>
    <x v="0"/>
    <n v="0.41999999999999993"/>
    <x v="1"/>
  </r>
  <r>
    <x v="96"/>
    <n v="1.49"/>
    <x v="8"/>
    <n v="0.1100000000000001"/>
    <x v="1"/>
  </r>
  <r>
    <x v="97"/>
    <n v="17.79"/>
    <x v="0"/>
    <n v="16.5"/>
    <x v="1"/>
  </r>
  <r>
    <x v="98"/>
    <n v="0.05"/>
    <x v="4"/>
    <n v="-1.03"/>
    <x v="1"/>
  </r>
  <r>
    <x v="99"/>
    <n v="0.69"/>
    <x v="4"/>
    <n v="0.21999999999999997"/>
    <x v="1"/>
  </r>
  <r>
    <x v="100"/>
    <n v="0.75"/>
    <x v="9"/>
    <n v="0.46"/>
    <x v="1"/>
  </r>
  <r>
    <x v="101"/>
    <n v="0.17"/>
    <x v="4"/>
    <n v="0"/>
    <x v="1"/>
  </r>
  <r>
    <x v="102"/>
    <n v="0.1"/>
    <x v="8"/>
    <n v="0"/>
    <x v="1"/>
  </r>
  <r>
    <x v="103"/>
    <n v="0.02"/>
    <x v="8"/>
    <n v="0"/>
    <x v="1"/>
  </r>
  <r>
    <x v="104"/>
    <n v="42.92"/>
    <x v="9"/>
    <n v="0"/>
    <x v="1"/>
  </r>
  <r>
    <x v="105"/>
    <n v="36.56"/>
    <x v="6"/>
    <n v="0"/>
    <x v="1"/>
  </r>
  <r>
    <x v="106"/>
    <n v="26.71"/>
    <x v="9"/>
    <n v="0"/>
    <x v="1"/>
  </r>
  <r>
    <x v="107"/>
    <n v="18.12"/>
    <x v="9"/>
    <n v="0"/>
    <x v="1"/>
  </r>
  <r>
    <x v="108"/>
    <n v="13.96"/>
    <x v="0"/>
    <n v="0"/>
    <x v="1"/>
  </r>
  <r>
    <x v="109"/>
    <n v="4.92"/>
    <x v="6"/>
    <n v="0"/>
    <x v="1"/>
  </r>
  <r>
    <x v="110"/>
    <n v="1.29"/>
    <x v="9"/>
    <n v="0"/>
    <x v="1"/>
  </r>
  <r>
    <x v="0"/>
    <n v="1463.97"/>
    <x v="0"/>
    <n v="-244.01"/>
    <x v="2"/>
  </r>
  <r>
    <x v="1"/>
    <n v="1191.8800000000001"/>
    <x v="0"/>
    <n v="-240.33999999999992"/>
    <x v="2"/>
  </r>
  <r>
    <x v="2"/>
    <n v="1570.23"/>
    <x v="1"/>
    <n v="91.480000000000018"/>
    <x v="2"/>
  </r>
  <r>
    <x v="3"/>
    <n v="336.75"/>
    <x v="1"/>
    <n v="-132.54000000000002"/>
    <x v="2"/>
  </r>
  <r>
    <x v="4"/>
    <n v="366.31"/>
    <x v="2"/>
    <n v="23.470000000000027"/>
    <x v="2"/>
  </r>
  <r>
    <x v="5"/>
    <n v="294.04000000000002"/>
    <x v="3"/>
    <n v="-64.069999999999993"/>
    <x v="2"/>
  </r>
  <r>
    <x v="6"/>
    <n v="178.15"/>
    <x v="4"/>
    <n v="173.38"/>
    <x v="2"/>
  </r>
  <r>
    <x v="7"/>
    <n v="206.06"/>
    <x v="5"/>
    <n v="-35.419999999999987"/>
    <x v="2"/>
  </r>
  <r>
    <x v="8"/>
    <n v="273.39"/>
    <x v="1"/>
    <n v="-66.75"/>
    <x v="2"/>
  </r>
  <r>
    <x v="9"/>
    <n v="192.16"/>
    <x v="2"/>
    <n v="28.579999999999984"/>
    <x v="2"/>
  </r>
  <r>
    <x v="10"/>
    <n v="124.09"/>
    <x v="0"/>
    <n v="-94.609999999999985"/>
    <x v="2"/>
  </r>
  <r>
    <x v="11"/>
    <n v="181.23"/>
    <x v="2"/>
    <n v="23.590000000000003"/>
    <x v="2"/>
  </r>
  <r>
    <x v="12"/>
    <n v="218.36"/>
    <x v="1"/>
    <n v="4.160000000000025"/>
    <x v="2"/>
  </r>
  <r>
    <x v="13"/>
    <n v="92.61"/>
    <x v="0"/>
    <n v="-87.58"/>
    <x v="2"/>
  </r>
  <r>
    <x v="14"/>
    <n v="89.66"/>
    <x v="0"/>
    <n v="-133.94"/>
    <x v="2"/>
  </r>
  <r>
    <x v="15"/>
    <n v="174.7"/>
    <x v="1"/>
    <n v="-26.740000000000009"/>
    <x v="2"/>
  </r>
  <r>
    <x v="16"/>
    <n v="168.85"/>
    <x v="0"/>
    <n v="-9.9800000000000182"/>
    <x v="2"/>
  </r>
  <r>
    <x v="17"/>
    <n v="104.34"/>
    <x v="0"/>
    <n v="-38.289999999999992"/>
    <x v="2"/>
  </r>
  <r>
    <x v="18"/>
    <n v="98.17"/>
    <x v="1"/>
    <n v="-30.209999999999994"/>
    <x v="2"/>
  </r>
  <r>
    <x v="19"/>
    <n v="101.7"/>
    <x v="6"/>
    <n v="-4.1499999999999915"/>
    <x v="2"/>
  </r>
  <r>
    <x v="20"/>
    <n v="106.32"/>
    <x v="6"/>
    <n v="-1.0600000000000023"/>
    <x v="2"/>
  </r>
  <r>
    <x v="21"/>
    <n v="104.93"/>
    <x v="7"/>
    <n v="4.5300000000000011"/>
    <x v="2"/>
  </r>
  <r>
    <x v="22"/>
    <n v="72.44"/>
    <x v="0"/>
    <n v="-37.960000000000008"/>
    <x v="2"/>
  </r>
  <r>
    <x v="23"/>
    <n v="105.65"/>
    <x v="4"/>
    <n v="-9.0499999999999972"/>
    <x v="2"/>
  </r>
  <r>
    <x v="24"/>
    <n v="84.62"/>
    <x v="6"/>
    <n v="-6.9099999999999966"/>
    <x v="2"/>
  </r>
  <r>
    <x v="25"/>
    <n v="98"/>
    <x v="6"/>
    <n v="2.1299999999999955"/>
    <x v="2"/>
  </r>
  <r>
    <x v="26"/>
    <n v="74.45"/>
    <x v="6"/>
    <n v="-8.2800000000000011"/>
    <x v="2"/>
  </r>
  <r>
    <x v="27"/>
    <n v="93.36"/>
    <x v="1"/>
    <n v="-15.480000000000004"/>
    <x v="2"/>
  </r>
  <r>
    <x v="28"/>
    <n v="72.08"/>
    <x v="6"/>
    <n v="-9.0000000000003411E-2"/>
    <x v="2"/>
  </r>
  <r>
    <x v="29"/>
    <n v="22.78"/>
    <x v="0"/>
    <n v="-40.61"/>
    <x v="2"/>
  </r>
  <r>
    <x v="30"/>
    <n v="33.9"/>
    <x v="0"/>
    <n v="-24.190000000000005"/>
    <x v="2"/>
  </r>
  <r>
    <x v="31"/>
    <n v="55.79"/>
    <x v="6"/>
    <n v="-1.8200000000000003"/>
    <x v="2"/>
  </r>
  <r>
    <x v="32"/>
    <n v="54.28"/>
    <x v="6"/>
    <n v="-2.1899999999999977"/>
    <x v="2"/>
  </r>
  <r>
    <x v="33"/>
    <n v="58.78"/>
    <x v="4"/>
    <n v="0.77000000000000313"/>
    <x v="2"/>
  </r>
  <r>
    <x v="34"/>
    <n v="51.49"/>
    <x v="6"/>
    <n v="-2.0899999999999963"/>
    <x v="2"/>
  </r>
  <r>
    <x v="35"/>
    <n v="55.42"/>
    <x v="0"/>
    <n v="-2.6099999999999994"/>
    <x v="2"/>
  </r>
  <r>
    <x v="36"/>
    <n v="61.06"/>
    <x v="8"/>
    <n v="7.2100000000000009"/>
    <x v="2"/>
  </r>
  <r>
    <x v="37"/>
    <n v="38.68"/>
    <x v="6"/>
    <n v="-1.2299999999999969"/>
    <x v="2"/>
  </r>
  <r>
    <x v="38"/>
    <n v="66.61"/>
    <x v="7"/>
    <n v="15.089999999999996"/>
    <x v="2"/>
  </r>
  <r>
    <x v="39"/>
    <n v="48.47"/>
    <x v="8"/>
    <n v="-5.4399999999999977"/>
    <x v="2"/>
  </r>
  <r>
    <x v="40"/>
    <n v="38.83"/>
    <x v="6"/>
    <n v="-0.95000000000000284"/>
    <x v="2"/>
  </r>
  <r>
    <x v="41"/>
    <n v="58.93"/>
    <x v="8"/>
    <n v="7.6199999999999974"/>
    <x v="2"/>
  </r>
  <r>
    <x v="42"/>
    <n v="42.32"/>
    <x v="8"/>
    <n v="-2.8599999999999994"/>
    <x v="2"/>
  </r>
  <r>
    <x v="43"/>
    <n v="36.89"/>
    <x v="4"/>
    <n v="4.7000000000000028"/>
    <x v="2"/>
  </r>
  <r>
    <x v="44"/>
    <n v="34.74"/>
    <x v="6"/>
    <n v="-9.9999999999980105E-3"/>
    <x v="2"/>
  </r>
  <r>
    <x v="45"/>
    <n v="34.659999999999997"/>
    <x v="8"/>
    <n v="2.2999999999999972"/>
    <x v="2"/>
  </r>
  <r>
    <x v="46"/>
    <n v="4.5999999999999996"/>
    <x v="9"/>
    <n v="-18.630000000000003"/>
    <x v="2"/>
  </r>
  <r>
    <x v="47"/>
    <n v="40.49"/>
    <x v="4"/>
    <n v="2.0000000000003126E-2"/>
    <x v="2"/>
  </r>
  <r>
    <x v="48"/>
    <n v="36.97"/>
    <x v="8"/>
    <n v="-0.46999999999999886"/>
    <x v="2"/>
  </r>
  <r>
    <x v="49"/>
    <n v="35.299999999999997"/>
    <x v="8"/>
    <n v="-2.1700000000000017"/>
    <x v="2"/>
  </r>
  <r>
    <x v="50"/>
    <n v="33.85"/>
    <x v="8"/>
    <n v="-1.25"/>
    <x v="2"/>
  </r>
  <r>
    <x v="51"/>
    <n v="32.049999999999997"/>
    <x v="8"/>
    <n v="-10.5"/>
    <x v="2"/>
  </r>
  <r>
    <x v="52"/>
    <n v="36.130000000000003"/>
    <x v="8"/>
    <n v="3.0600000000000023"/>
    <x v="2"/>
  </r>
  <r>
    <x v="53"/>
    <n v="22.71"/>
    <x v="6"/>
    <n v="-2.5399999999999991"/>
    <x v="2"/>
  </r>
  <r>
    <x v="54"/>
    <n v="32.97"/>
    <x v="8"/>
    <n v="3.7899999999999991"/>
    <x v="2"/>
  </r>
  <r>
    <x v="55"/>
    <n v="26.89"/>
    <x v="8"/>
    <n v="4.09"/>
    <x v="2"/>
  </r>
  <r>
    <x v="56"/>
    <n v="21.37"/>
    <x v="6"/>
    <n v="-2.3099999999999987"/>
    <x v="2"/>
  </r>
  <r>
    <x v="57"/>
    <n v="15.67"/>
    <x v="6"/>
    <n v="-7.1"/>
    <x v="2"/>
  </r>
  <r>
    <x v="58"/>
    <n v="60.48"/>
    <x v="8"/>
    <n v="-7.3900000000000077"/>
    <x v="2"/>
  </r>
  <r>
    <x v="59"/>
    <n v="15.09"/>
    <x v="6"/>
    <n v="-6.66"/>
    <x v="2"/>
  </r>
  <r>
    <x v="60"/>
    <n v="30.75"/>
    <x v="8"/>
    <n v="2.5100000000000016"/>
    <x v="2"/>
  </r>
  <r>
    <x v="61"/>
    <n v="18.510000000000002"/>
    <x v="4"/>
    <n v="-9.9999999999997868E-2"/>
    <x v="2"/>
  </r>
  <r>
    <x v="62"/>
    <n v="26.4"/>
    <x v="8"/>
    <n v="-3.2700000000000031"/>
    <x v="2"/>
  </r>
  <r>
    <x v="63"/>
    <n v="26.26"/>
    <x v="8"/>
    <n v="2.0600000000000023"/>
    <x v="2"/>
  </r>
  <r>
    <x v="64"/>
    <n v="20.16"/>
    <x v="8"/>
    <n v="3.8500000000000014"/>
    <x v="2"/>
  </r>
  <r>
    <x v="65"/>
    <n v="25.59"/>
    <x v="8"/>
    <n v="-2.9499999999999993"/>
    <x v="2"/>
  </r>
  <r>
    <x v="66"/>
    <n v="15.51"/>
    <x v="6"/>
    <n v="-1.0600000000000005"/>
    <x v="2"/>
  </r>
  <r>
    <x v="67"/>
    <n v="9.39"/>
    <x v="8"/>
    <n v="1.6600000000000001"/>
    <x v="2"/>
  </r>
  <r>
    <x v="68"/>
    <n v="18.73"/>
    <x v="8"/>
    <n v="0.85999999999999943"/>
    <x v="2"/>
  </r>
  <r>
    <x v="69"/>
    <n v="15.89"/>
    <x v="8"/>
    <n v="0.16000000000000014"/>
    <x v="2"/>
  </r>
  <r>
    <x v="70"/>
    <n v="18.12"/>
    <x v="8"/>
    <n v="1.6700000000000017"/>
    <x v="2"/>
  </r>
  <r>
    <x v="71"/>
    <n v="14.12"/>
    <x v="8"/>
    <n v="-0.38000000000000078"/>
    <x v="2"/>
  </r>
  <r>
    <x v="72"/>
    <n v="8.9499999999999993"/>
    <x v="6"/>
    <n v="-3.8000000000000007"/>
    <x v="2"/>
  </r>
  <r>
    <x v="73"/>
    <n v="16.48"/>
    <x v="8"/>
    <n v="2.370000000000001"/>
    <x v="2"/>
  </r>
  <r>
    <x v="74"/>
    <n v="5.51"/>
    <x v="0"/>
    <n v="-9"/>
    <x v="2"/>
  </r>
  <r>
    <x v="75"/>
    <n v="6.04"/>
    <x v="0"/>
    <n v="-16.84"/>
    <x v="2"/>
  </r>
  <r>
    <x v="76"/>
    <n v="9.6300000000000008"/>
    <x v="8"/>
    <n v="0.80000000000000071"/>
    <x v="2"/>
  </r>
  <r>
    <x v="77"/>
    <n v="12.08"/>
    <x v="9"/>
    <n v="-18.380000000000003"/>
    <x v="2"/>
  </r>
  <r>
    <x v="78"/>
    <n v="11.45"/>
    <x v="8"/>
    <n v="-0.44000000000000128"/>
    <x v="2"/>
  </r>
  <r>
    <x v="79"/>
    <n v="8.75"/>
    <x v="8"/>
    <n v="5.0000000000000711E-2"/>
    <x v="2"/>
  </r>
  <r>
    <x v="80"/>
    <n v="13.71"/>
    <x v="8"/>
    <n v="1.120000000000001"/>
    <x v="2"/>
  </r>
  <r>
    <x v="81"/>
    <n v="9.56"/>
    <x v="8"/>
    <n v="8.9999999999999858E-2"/>
    <x v="2"/>
  </r>
  <r>
    <x v="82"/>
    <n v="6.23"/>
    <x v="8"/>
    <n v="1.3400000000000007"/>
    <x v="2"/>
  </r>
  <r>
    <x v="83"/>
    <n v="15.72"/>
    <x v="8"/>
    <n v="1.7800000000000011"/>
    <x v="2"/>
  </r>
  <r>
    <x v="84"/>
    <n v="9.0299999999999994"/>
    <x v="8"/>
    <n v="1.4499999999999993"/>
    <x v="2"/>
  </r>
  <r>
    <x v="85"/>
    <n v="6.1"/>
    <x v="8"/>
    <n v="-0.4300000000000006"/>
    <x v="2"/>
  </r>
  <r>
    <x v="86"/>
    <n v="8.1300000000000008"/>
    <x v="4"/>
    <n v="3.2200000000000006"/>
    <x v="2"/>
  </r>
  <r>
    <x v="87"/>
    <n v="19.649999999999999"/>
    <x v="4"/>
    <n v="13.52"/>
    <x v="2"/>
  </r>
  <r>
    <x v="88"/>
    <n v="4.1399999999999997"/>
    <x v="9"/>
    <n v="-9.0000000000000746E-2"/>
    <x v="2"/>
  </r>
  <r>
    <x v="89"/>
    <n v="2.36"/>
    <x v="8"/>
    <n v="-1.4700000000000002"/>
    <x v="2"/>
  </r>
  <r>
    <x v="90"/>
    <n v="4.38"/>
    <x v="8"/>
    <n v="-0.12999999999999989"/>
    <x v="2"/>
  </r>
  <r>
    <x v="91"/>
    <n v="3.96"/>
    <x v="8"/>
    <n v="-1.21"/>
    <x v="2"/>
  </r>
  <r>
    <x v="92"/>
    <n v="2.4300000000000002"/>
    <x v="8"/>
    <n v="-9.9999999999999645E-2"/>
    <x v="2"/>
  </r>
  <r>
    <x v="93"/>
    <n v="2.3199999999999998"/>
    <x v="8"/>
    <n v="-2.0000000000000018E-2"/>
    <x v="2"/>
  </r>
  <r>
    <x v="94"/>
    <n v="2.68"/>
    <x v="8"/>
    <n v="-0.21999999999999975"/>
    <x v="2"/>
  </r>
  <r>
    <x v="95"/>
    <n v="1.38"/>
    <x v="0"/>
    <n v="-1.3900000000000001"/>
    <x v="2"/>
  </r>
  <r>
    <x v="96"/>
    <n v="1.38"/>
    <x v="8"/>
    <n v="-0.1100000000000001"/>
    <x v="2"/>
  </r>
  <r>
    <x v="97"/>
    <n v="13.14"/>
    <x v="0"/>
    <n v="-4.6499999999999986"/>
    <x v="2"/>
  </r>
  <r>
    <x v="98"/>
    <n v="0.99"/>
    <x v="4"/>
    <n v="0.94"/>
    <x v="2"/>
  </r>
  <r>
    <x v="99"/>
    <n v="0.35"/>
    <x v="4"/>
    <n v="-0.33999999999999997"/>
    <x v="2"/>
  </r>
  <r>
    <x v="100"/>
    <n v="0.06"/>
    <x v="9"/>
    <n v="-0.69"/>
    <x v="2"/>
  </r>
  <r>
    <x v="101"/>
    <n v="0.17"/>
    <x v="4"/>
    <n v="0"/>
    <x v="2"/>
  </r>
  <r>
    <x v="102"/>
    <n v="0.65"/>
    <x v="8"/>
    <n v="0.55000000000000004"/>
    <x v="2"/>
  </r>
  <r>
    <x v="103"/>
    <n v="0.02"/>
    <x v="8"/>
    <n v="0"/>
    <x v="2"/>
  </r>
  <r>
    <x v="104"/>
    <n v="1.93"/>
    <x v="9"/>
    <n v="-40.99"/>
    <x v="2"/>
  </r>
  <r>
    <x v="105"/>
    <n v="80.16"/>
    <x v="6"/>
    <n v="43.599999999999994"/>
    <x v="2"/>
  </r>
  <r>
    <x v="106"/>
    <n v="13.45"/>
    <x v="9"/>
    <n v="-13.260000000000002"/>
    <x v="2"/>
  </r>
  <r>
    <x v="107"/>
    <n v="19.11"/>
    <x v="9"/>
    <n v="0.98999999999999844"/>
    <x v="2"/>
  </r>
  <r>
    <x v="108"/>
    <n v="10.55"/>
    <x v="0"/>
    <n v="-3.41"/>
    <x v="2"/>
  </r>
  <r>
    <x v="109"/>
    <n v="6.98"/>
    <x v="6"/>
    <n v="2.0600000000000005"/>
    <x v="2"/>
  </r>
  <r>
    <x v="110"/>
    <n v="52.75"/>
    <x v="9"/>
    <n v="51.46"/>
    <x v="2"/>
  </r>
  <r>
    <x v="111"/>
    <n v="215.83"/>
    <x v="7"/>
    <n v="215.83"/>
    <x v="2"/>
  </r>
  <r>
    <x v="112"/>
    <n v="18.170000000000002"/>
    <x v="9"/>
    <n v="18.170000000000002"/>
    <x v="2"/>
  </r>
  <r>
    <x v="113"/>
    <n v="15.93"/>
    <x v="7"/>
    <n v="15.93"/>
    <x v="2"/>
  </r>
  <r>
    <x v="114"/>
    <n v="17.25"/>
    <x v="7"/>
    <n v="17.25"/>
    <x v="2"/>
  </r>
  <r>
    <x v="115"/>
    <n v="13.38"/>
    <x v="7"/>
    <n v="13.38"/>
    <x v="2"/>
  </r>
  <r>
    <x v="116"/>
    <n v="11.18"/>
    <x v="9"/>
    <n v="11.18"/>
    <x v="2"/>
  </r>
  <r>
    <x v="117"/>
    <n v="10.78"/>
    <x v="9"/>
    <n v="10.78"/>
    <x v="2"/>
  </r>
  <r>
    <x v="118"/>
    <n v="9.68"/>
    <x v="7"/>
    <n v="9.68"/>
    <x v="2"/>
  </r>
  <r>
    <x v="119"/>
    <n v="8.75"/>
    <x v="9"/>
    <n v="8.75"/>
    <x v="2"/>
  </r>
  <r>
    <x v="120"/>
    <n v="6.33"/>
    <x v="9"/>
    <n v="6.33"/>
    <x v="2"/>
  </r>
  <r>
    <x v="121"/>
    <n v="4.28"/>
    <x v="0"/>
    <n v="4.28"/>
    <x v="2"/>
  </r>
  <r>
    <x v="122"/>
    <n v="1.96"/>
    <x v="7"/>
    <n v="1.96"/>
    <x v="2"/>
  </r>
  <r>
    <x v="123"/>
    <n v="0.53"/>
    <x v="6"/>
    <n v="0.53"/>
    <x v="2"/>
  </r>
  <r>
    <x v="124"/>
    <n v="0.99"/>
    <x v="7"/>
    <n v="0.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D379C-FA80-4066-B9E9-58945F98C251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>
  <location ref="G3:O8" firstHeaderRow="1" firstDataRow="3" firstDataCol="1"/>
  <pivotFields count="6">
    <pivotField axis="axisRow" showAll="0" sortType="ascending">
      <items count="126">
        <item x="99"/>
        <item x="85"/>
        <item x="15"/>
        <item x="104"/>
        <item x="117"/>
        <item x="119"/>
        <item x="107"/>
        <item x="106"/>
        <item x="110"/>
        <item x="120"/>
        <item x="116"/>
        <item x="60"/>
        <item x="5"/>
        <item x="86"/>
        <item x="47"/>
        <item x="18"/>
        <item x="81"/>
        <item x="87"/>
        <item x="73"/>
        <item x="74"/>
        <item x="23"/>
        <item x="4"/>
        <item x="76"/>
        <item x="36"/>
        <item x="9"/>
        <item x="40"/>
        <item x="31"/>
        <item x="43"/>
        <item x="68"/>
        <item x="105"/>
        <item x="25"/>
        <item x="49"/>
        <item x="19"/>
        <item x="52"/>
        <item x="93"/>
        <item x="69"/>
        <item x="64"/>
        <item x="41"/>
        <item x="55"/>
        <item x="98"/>
        <item x="115"/>
        <item x="2"/>
        <item x="103"/>
        <item x="10"/>
        <item x="58"/>
        <item x="53"/>
        <item x="14"/>
        <item x="29"/>
        <item x="44"/>
        <item x="72"/>
        <item x="0"/>
        <item x="35"/>
        <item x="118"/>
        <item x="37"/>
        <item x="109"/>
        <item x="63"/>
        <item x="59"/>
        <item x="7"/>
        <item x="6"/>
        <item x="32"/>
        <item x="21"/>
        <item x="96"/>
        <item x="61"/>
        <item x="62"/>
        <item x="65"/>
        <item x="88"/>
        <item x="12"/>
        <item x="22"/>
        <item x="77"/>
        <item x="112"/>
        <item x="16"/>
        <item x="17"/>
        <item x="46"/>
        <item x="66"/>
        <item x="56"/>
        <item x="89"/>
        <item x="114"/>
        <item x="1"/>
        <item x="13"/>
        <item x="79"/>
        <item x="28"/>
        <item x="84"/>
        <item x="34"/>
        <item x="113"/>
        <item x="101"/>
        <item x="42"/>
        <item x="38"/>
        <item x="54"/>
        <item x="51"/>
        <item x="24"/>
        <item x="26"/>
        <item x="82"/>
        <item x="111"/>
        <item x="95"/>
        <item x="8"/>
        <item x="30"/>
        <item x="75"/>
        <item x="108"/>
        <item x="121"/>
        <item x="71"/>
        <item x="39"/>
        <item x="11"/>
        <item x="67"/>
        <item x="45"/>
        <item x="78"/>
        <item x="92"/>
        <item x="3"/>
        <item x="90"/>
        <item x="91"/>
        <item x="80"/>
        <item x="48"/>
        <item x="70"/>
        <item x="100"/>
        <item x="102"/>
        <item x="50"/>
        <item x="27"/>
        <item x="20"/>
        <item x="57"/>
        <item x="97"/>
        <item x="33"/>
        <item x="122"/>
        <item x="94"/>
        <item x="83"/>
        <item x="123"/>
        <item x="124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4" count="1" selected="0">
              <x v="2"/>
            </reference>
          </references>
        </pivotArea>
      </autoSortScope>
    </pivotField>
    <pivotField dataField="1" showAll="0"/>
    <pivotField axis="axisRow" showAll="0" sortType="descending">
      <items count="11">
        <item sd="0" x="4"/>
        <item sd="0" x="0"/>
        <item sd="0" x="9"/>
        <item x="2"/>
        <item x="5"/>
        <item x="8"/>
        <item x="1"/>
        <item x="7"/>
        <item sd="0"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3">
        <item n="No Renovable" sd="0" x="1"/>
        <item n="Renovable"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5"/>
    <field x="2"/>
    <field x="0"/>
  </rowFields>
  <rowItems count="3">
    <i>
      <x v="1"/>
    </i>
    <i>
      <x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GEN" fld="1" baseField="2" baseItem="1" numFmtId="4"/>
    <dataField name="BRIDGE" fld="3" baseField="0" baseItem="0" numFmtId="4"/>
  </dataFields>
  <formats count="4">
    <format dxfId="100">
      <pivotArea dataOnly="0" labelOnly="1" fieldPosition="0">
        <references count="1">
          <reference field="4" count="0"/>
        </references>
      </pivotArea>
    </format>
    <format dxfId="101">
      <pivotArea dataOnly="0" labelOnly="1" grandCol="1" outline="0" fieldPosition="0"/>
    </format>
    <format dxfId="102">
      <pivotArea dataOnly="0" labelOnly="1" fieldPosition="0">
        <references count="1">
          <reference field="4" count="0"/>
        </references>
      </pivotArea>
    </format>
    <format dxfId="103">
      <pivotArea dataOnly="0" labelOnly="1" grandCol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1AB2D-104C-4205-B34A-9D5DB27B5923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7" firstHeaderRow="1" firstDataRow="2" firstDataCol="1"/>
  <pivotFields count="6">
    <pivotField showAll="0"/>
    <pivotField dataField="1" showAll="0"/>
    <pivotField axis="axisRow" showAll="0" sortType="descending">
      <items count="11">
        <item x="4"/>
        <item x="0"/>
        <item x="9"/>
        <item x="2"/>
        <item x="5"/>
        <item x="8"/>
        <item x="1"/>
        <item x="7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axis="axisCol" showAll="0">
      <items count="4">
        <item x="0"/>
        <item x="1"/>
        <item x="2"/>
        <item t="default"/>
      </items>
    </pivotField>
    <pivotField axis="axisRow" showAll="0" sortType="descending">
      <items count="3">
        <item n="No Renovable" x="1"/>
        <item n="Renovable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2"/>
  </rowFields>
  <rowItems count="13">
    <i>
      <x v="1"/>
    </i>
    <i r="1">
      <x v="6"/>
    </i>
    <i r="1">
      <x v="9"/>
    </i>
    <i r="1">
      <x v="5"/>
    </i>
    <i r="1">
      <x v="3"/>
    </i>
    <i r="1">
      <x v="4"/>
    </i>
    <i>
      <x/>
    </i>
    <i r="1">
      <x v="1"/>
    </i>
    <i r="1">
      <x/>
    </i>
    <i r="1">
      <x v="8"/>
    </i>
    <i r="1">
      <x v="7"/>
    </i>
    <i r="1"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Generación [GWh]" fld="1" baseField="2" baseItem="1" numFmtId="4"/>
  </dataFields>
  <formats count="4"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Col="1" outline="0" fieldPosition="0"/>
    </format>
    <format dxfId="125">
      <pivotArea dataOnly="0" labelOnly="1" fieldPosition="0">
        <references count="1">
          <reference field="4" count="0"/>
        </references>
      </pivotArea>
    </format>
    <format dxfId="1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6"/>
  <sheetViews>
    <sheetView topLeftCell="F1" workbookViewId="0">
      <selection activeCell="M126" sqref="K2:M126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23.140625" bestFit="1" customWidth="1"/>
    <col min="4" max="4" width="23.140625" customWidth="1"/>
    <col min="6" max="6" width="30.85546875" bestFit="1" customWidth="1"/>
    <col min="7" max="7" width="17.5703125" bestFit="1" customWidth="1"/>
    <col min="8" max="8" width="23.140625" bestFit="1" customWidth="1"/>
    <col min="11" max="11" width="30.85546875" bestFit="1" customWidth="1"/>
    <col min="12" max="12" width="17.5703125" bestFit="1" customWidth="1"/>
    <col min="13" max="13" width="23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117</v>
      </c>
      <c r="F1" t="s">
        <v>0</v>
      </c>
      <c r="G1" t="s">
        <v>1</v>
      </c>
      <c r="H1" t="s">
        <v>2</v>
      </c>
      <c r="I1" t="s">
        <v>117</v>
      </c>
      <c r="K1" t="s">
        <v>0</v>
      </c>
      <c r="L1" t="s">
        <v>1</v>
      </c>
      <c r="M1" t="s">
        <v>2</v>
      </c>
      <c r="N1" t="s">
        <v>117</v>
      </c>
    </row>
    <row r="2" spans="1:14" x14ac:dyDescent="0.25">
      <c r="A2" t="s">
        <v>3</v>
      </c>
      <c r="B2" s="1">
        <v>1676.84</v>
      </c>
      <c r="C2" t="s">
        <v>4</v>
      </c>
      <c r="D2">
        <v>2023</v>
      </c>
      <c r="F2" t="s">
        <v>3</v>
      </c>
      <c r="G2" s="1">
        <v>1707.98</v>
      </c>
      <c r="H2" t="s">
        <v>4</v>
      </c>
      <c r="I2">
        <v>2024</v>
      </c>
      <c r="K2" t="s">
        <v>3</v>
      </c>
      <c r="L2" s="1">
        <v>1463.97</v>
      </c>
      <c r="M2" t="s">
        <v>4</v>
      </c>
      <c r="N2">
        <v>2025</v>
      </c>
    </row>
    <row r="3" spans="1:14" x14ac:dyDescent="0.25">
      <c r="A3" t="s">
        <v>5</v>
      </c>
      <c r="B3" s="1">
        <v>1554.79</v>
      </c>
      <c r="C3" t="s">
        <v>4</v>
      </c>
      <c r="D3">
        <v>2023</v>
      </c>
      <c r="F3" t="s">
        <v>5</v>
      </c>
      <c r="G3" s="1">
        <v>1432.22</v>
      </c>
      <c r="H3" t="s">
        <v>4</v>
      </c>
      <c r="I3">
        <v>2024</v>
      </c>
      <c r="K3" t="s">
        <v>5</v>
      </c>
      <c r="L3" s="1">
        <v>1191.8800000000001</v>
      </c>
      <c r="M3" t="s">
        <v>4</v>
      </c>
      <c r="N3">
        <v>2025</v>
      </c>
    </row>
    <row r="4" spans="1:14" x14ac:dyDescent="0.25">
      <c r="A4" t="s">
        <v>6</v>
      </c>
      <c r="B4" s="1">
        <v>1244.58</v>
      </c>
      <c r="C4" t="s">
        <v>7</v>
      </c>
      <c r="D4">
        <v>2023</v>
      </c>
      <c r="F4" t="s">
        <v>6</v>
      </c>
      <c r="G4" s="1">
        <v>1478.75</v>
      </c>
      <c r="H4" t="s">
        <v>7</v>
      </c>
      <c r="I4">
        <v>2024</v>
      </c>
      <c r="K4" t="s">
        <v>6</v>
      </c>
      <c r="L4" s="1">
        <v>1570.23</v>
      </c>
      <c r="M4" t="s">
        <v>7</v>
      </c>
      <c r="N4">
        <v>2025</v>
      </c>
    </row>
    <row r="5" spans="1:14" x14ac:dyDescent="0.25">
      <c r="A5" t="s">
        <v>8</v>
      </c>
      <c r="B5">
        <v>425.48</v>
      </c>
      <c r="C5" t="s">
        <v>7</v>
      </c>
      <c r="D5">
        <v>2023</v>
      </c>
      <c r="F5" t="s">
        <v>8</v>
      </c>
      <c r="G5">
        <v>469.29</v>
      </c>
      <c r="H5" t="s">
        <v>7</v>
      </c>
      <c r="I5">
        <v>2024</v>
      </c>
      <c r="K5" t="s">
        <v>8</v>
      </c>
      <c r="L5">
        <v>336.75</v>
      </c>
      <c r="M5" t="s">
        <v>7</v>
      </c>
      <c r="N5">
        <v>2025</v>
      </c>
    </row>
    <row r="6" spans="1:14" x14ac:dyDescent="0.25">
      <c r="A6" t="s">
        <v>9</v>
      </c>
      <c r="B6">
        <v>377.36</v>
      </c>
      <c r="C6" t="s">
        <v>10</v>
      </c>
      <c r="D6">
        <v>2023</v>
      </c>
      <c r="F6" t="s">
        <v>9</v>
      </c>
      <c r="G6">
        <v>342.84</v>
      </c>
      <c r="H6" t="s">
        <v>10</v>
      </c>
      <c r="I6">
        <v>2024</v>
      </c>
      <c r="K6" t="s">
        <v>9</v>
      </c>
      <c r="L6">
        <v>366.31</v>
      </c>
      <c r="M6" t="s">
        <v>10</v>
      </c>
      <c r="N6">
        <v>2025</v>
      </c>
    </row>
    <row r="7" spans="1:14" x14ac:dyDescent="0.25">
      <c r="A7" t="s">
        <v>11</v>
      </c>
      <c r="B7">
        <v>329.63</v>
      </c>
      <c r="C7" t="s">
        <v>12</v>
      </c>
      <c r="D7">
        <v>2023</v>
      </c>
      <c r="F7" t="s">
        <v>11</v>
      </c>
      <c r="G7">
        <v>358.11</v>
      </c>
      <c r="H7" t="s">
        <v>12</v>
      </c>
      <c r="I7">
        <v>2024</v>
      </c>
      <c r="K7" t="s">
        <v>11</v>
      </c>
      <c r="L7">
        <v>294.04000000000002</v>
      </c>
      <c r="M7" t="s">
        <v>12</v>
      </c>
      <c r="N7">
        <v>2025</v>
      </c>
    </row>
    <row r="8" spans="1:14" x14ac:dyDescent="0.25">
      <c r="A8" t="s">
        <v>13</v>
      </c>
      <c r="B8">
        <v>260.43</v>
      </c>
      <c r="C8" t="s">
        <v>14</v>
      </c>
      <c r="D8">
        <v>2023</v>
      </c>
      <c r="F8" t="s">
        <v>13</v>
      </c>
      <c r="G8">
        <v>4.7699999999999996</v>
      </c>
      <c r="H8" t="s">
        <v>14</v>
      </c>
      <c r="I8">
        <v>2024</v>
      </c>
      <c r="K8" t="s">
        <v>13</v>
      </c>
      <c r="L8">
        <v>178.15</v>
      </c>
      <c r="M8" t="s">
        <v>14</v>
      </c>
      <c r="N8">
        <v>2025</v>
      </c>
    </row>
    <row r="9" spans="1:14" x14ac:dyDescent="0.25">
      <c r="A9" t="s">
        <v>15</v>
      </c>
      <c r="B9">
        <v>254.52</v>
      </c>
      <c r="C9" t="s">
        <v>16</v>
      </c>
      <c r="D9">
        <v>2023</v>
      </c>
      <c r="F9" t="s">
        <v>15</v>
      </c>
      <c r="G9">
        <v>241.48</v>
      </c>
      <c r="H9" t="s">
        <v>16</v>
      </c>
      <c r="I9">
        <v>2024</v>
      </c>
      <c r="K9" t="s">
        <v>15</v>
      </c>
      <c r="L9">
        <v>206.06</v>
      </c>
      <c r="M9" t="s">
        <v>16</v>
      </c>
      <c r="N9">
        <v>2025</v>
      </c>
    </row>
    <row r="10" spans="1:14" x14ac:dyDescent="0.25">
      <c r="A10" t="s">
        <v>17</v>
      </c>
      <c r="B10">
        <v>248.71</v>
      </c>
      <c r="C10" t="s">
        <v>7</v>
      </c>
      <c r="D10">
        <v>2023</v>
      </c>
      <c r="F10" t="s">
        <v>17</v>
      </c>
      <c r="G10">
        <v>340.14</v>
      </c>
      <c r="H10" t="s">
        <v>7</v>
      </c>
      <c r="I10">
        <v>2024</v>
      </c>
      <c r="K10" t="s">
        <v>17</v>
      </c>
      <c r="L10">
        <v>273.39</v>
      </c>
      <c r="M10" t="s">
        <v>7</v>
      </c>
      <c r="N10">
        <v>2025</v>
      </c>
    </row>
    <row r="11" spans="1:14" x14ac:dyDescent="0.25">
      <c r="A11" t="s">
        <v>18</v>
      </c>
      <c r="B11">
        <v>202.46</v>
      </c>
      <c r="C11" t="s">
        <v>10</v>
      </c>
      <c r="D11">
        <v>2023</v>
      </c>
      <c r="F11" t="s">
        <v>18</v>
      </c>
      <c r="G11">
        <v>163.58000000000001</v>
      </c>
      <c r="H11" t="s">
        <v>10</v>
      </c>
      <c r="I11">
        <v>2024</v>
      </c>
      <c r="K11" t="s">
        <v>18</v>
      </c>
      <c r="L11">
        <v>192.16</v>
      </c>
      <c r="M11" t="s">
        <v>10</v>
      </c>
      <c r="N11">
        <v>2025</v>
      </c>
    </row>
    <row r="12" spans="1:14" x14ac:dyDescent="0.25">
      <c r="A12" t="s">
        <v>19</v>
      </c>
      <c r="B12">
        <v>199.49</v>
      </c>
      <c r="C12" t="s">
        <v>4</v>
      </c>
      <c r="D12">
        <v>2023</v>
      </c>
      <c r="F12" t="s">
        <v>19</v>
      </c>
      <c r="G12">
        <v>218.7</v>
      </c>
      <c r="H12" t="s">
        <v>4</v>
      </c>
      <c r="I12">
        <v>2024</v>
      </c>
      <c r="K12" t="s">
        <v>19</v>
      </c>
      <c r="L12">
        <v>124.09</v>
      </c>
      <c r="M12" t="s">
        <v>4</v>
      </c>
      <c r="N12">
        <v>2025</v>
      </c>
    </row>
    <row r="13" spans="1:14" x14ac:dyDescent="0.25">
      <c r="A13" t="s">
        <v>20</v>
      </c>
      <c r="B13">
        <v>187.51</v>
      </c>
      <c r="C13" t="s">
        <v>10</v>
      </c>
      <c r="D13">
        <v>2023</v>
      </c>
      <c r="F13" t="s">
        <v>20</v>
      </c>
      <c r="G13">
        <v>157.63999999999999</v>
      </c>
      <c r="H13" t="s">
        <v>10</v>
      </c>
      <c r="I13">
        <v>2024</v>
      </c>
      <c r="K13" t="s">
        <v>20</v>
      </c>
      <c r="L13">
        <v>181.23</v>
      </c>
      <c r="M13" t="s">
        <v>10</v>
      </c>
      <c r="N13">
        <v>2025</v>
      </c>
    </row>
    <row r="14" spans="1:14" x14ac:dyDescent="0.25">
      <c r="A14" t="s">
        <v>21</v>
      </c>
      <c r="B14">
        <v>185.42</v>
      </c>
      <c r="C14" t="s">
        <v>7</v>
      </c>
      <c r="D14">
        <v>2023</v>
      </c>
      <c r="F14" t="s">
        <v>21</v>
      </c>
      <c r="G14">
        <v>214.2</v>
      </c>
      <c r="H14" t="s">
        <v>7</v>
      </c>
      <c r="I14">
        <v>2024</v>
      </c>
      <c r="K14" t="s">
        <v>21</v>
      </c>
      <c r="L14">
        <v>218.36</v>
      </c>
      <c r="M14" t="s">
        <v>7</v>
      </c>
      <c r="N14">
        <v>2025</v>
      </c>
    </row>
    <row r="15" spans="1:14" x14ac:dyDescent="0.25">
      <c r="A15" t="s">
        <v>22</v>
      </c>
      <c r="B15">
        <v>176.84</v>
      </c>
      <c r="C15" t="s">
        <v>4</v>
      </c>
      <c r="D15">
        <v>2023</v>
      </c>
      <c r="F15" t="s">
        <v>22</v>
      </c>
      <c r="G15">
        <v>180.19</v>
      </c>
      <c r="H15" t="s">
        <v>4</v>
      </c>
      <c r="I15">
        <v>2024</v>
      </c>
      <c r="K15" t="s">
        <v>22</v>
      </c>
      <c r="L15">
        <v>92.61</v>
      </c>
      <c r="M15" t="s">
        <v>4</v>
      </c>
      <c r="N15">
        <v>2025</v>
      </c>
    </row>
    <row r="16" spans="1:14" x14ac:dyDescent="0.25">
      <c r="A16" t="s">
        <v>23</v>
      </c>
      <c r="B16">
        <v>168.03</v>
      </c>
      <c r="C16" t="s">
        <v>4</v>
      </c>
      <c r="D16">
        <v>2023</v>
      </c>
      <c r="F16" t="s">
        <v>23</v>
      </c>
      <c r="G16">
        <v>223.6</v>
      </c>
      <c r="H16" t="s">
        <v>4</v>
      </c>
      <c r="I16">
        <v>2024</v>
      </c>
      <c r="K16" t="s">
        <v>23</v>
      </c>
      <c r="L16">
        <v>89.66</v>
      </c>
      <c r="M16" t="s">
        <v>4</v>
      </c>
      <c r="N16">
        <v>2025</v>
      </c>
    </row>
    <row r="17" spans="1:14" x14ac:dyDescent="0.25">
      <c r="A17" t="s">
        <v>24</v>
      </c>
      <c r="B17">
        <v>167.55</v>
      </c>
      <c r="C17" t="s">
        <v>7</v>
      </c>
      <c r="D17">
        <v>2023</v>
      </c>
      <c r="F17" t="s">
        <v>24</v>
      </c>
      <c r="G17">
        <v>201.44</v>
      </c>
      <c r="H17" t="s">
        <v>7</v>
      </c>
      <c r="I17">
        <v>2024</v>
      </c>
      <c r="K17" t="s">
        <v>24</v>
      </c>
      <c r="L17">
        <v>174.7</v>
      </c>
      <c r="M17" t="s">
        <v>7</v>
      </c>
      <c r="N17">
        <v>2025</v>
      </c>
    </row>
    <row r="18" spans="1:14" x14ac:dyDescent="0.25">
      <c r="A18" t="s">
        <v>25</v>
      </c>
      <c r="B18">
        <v>147.41</v>
      </c>
      <c r="C18" t="s">
        <v>4</v>
      </c>
      <c r="D18">
        <v>2023</v>
      </c>
      <c r="F18" t="s">
        <v>25</v>
      </c>
      <c r="G18">
        <v>178.83</v>
      </c>
      <c r="H18" t="s">
        <v>4</v>
      </c>
      <c r="I18">
        <v>2024</v>
      </c>
      <c r="K18" t="s">
        <v>25</v>
      </c>
      <c r="L18">
        <v>168.85</v>
      </c>
      <c r="M18" t="s">
        <v>4</v>
      </c>
      <c r="N18">
        <v>2025</v>
      </c>
    </row>
    <row r="19" spans="1:14" x14ac:dyDescent="0.25">
      <c r="A19" t="s">
        <v>26</v>
      </c>
      <c r="B19">
        <v>139.13999999999999</v>
      </c>
      <c r="C19" t="s">
        <v>4</v>
      </c>
      <c r="D19">
        <v>2023</v>
      </c>
      <c r="F19" t="s">
        <v>26</v>
      </c>
      <c r="G19">
        <v>142.63</v>
      </c>
      <c r="H19" t="s">
        <v>4</v>
      </c>
      <c r="I19">
        <v>2024</v>
      </c>
      <c r="K19" t="s">
        <v>26</v>
      </c>
      <c r="L19">
        <v>104.34</v>
      </c>
      <c r="M19" t="s">
        <v>4</v>
      </c>
      <c r="N19">
        <v>2025</v>
      </c>
    </row>
    <row r="20" spans="1:14" x14ac:dyDescent="0.25">
      <c r="A20" t="s">
        <v>27</v>
      </c>
      <c r="B20">
        <v>116.24</v>
      </c>
      <c r="C20" t="s">
        <v>7</v>
      </c>
      <c r="D20">
        <v>2023</v>
      </c>
      <c r="F20" t="s">
        <v>27</v>
      </c>
      <c r="G20">
        <v>128.38</v>
      </c>
      <c r="H20" t="s">
        <v>7</v>
      </c>
      <c r="I20">
        <v>2024</v>
      </c>
      <c r="K20" t="s">
        <v>27</v>
      </c>
      <c r="L20">
        <v>98.17</v>
      </c>
      <c r="M20" t="s">
        <v>7</v>
      </c>
      <c r="N20">
        <v>2025</v>
      </c>
    </row>
    <row r="21" spans="1:14" x14ac:dyDescent="0.25">
      <c r="A21" t="s">
        <v>28</v>
      </c>
      <c r="B21">
        <v>108.42</v>
      </c>
      <c r="C21" t="s">
        <v>29</v>
      </c>
      <c r="D21">
        <v>2023</v>
      </c>
      <c r="F21" t="s">
        <v>28</v>
      </c>
      <c r="G21">
        <v>105.85</v>
      </c>
      <c r="H21" t="s">
        <v>29</v>
      </c>
      <c r="I21">
        <v>2024</v>
      </c>
      <c r="K21" t="s">
        <v>28</v>
      </c>
      <c r="L21">
        <v>101.7</v>
      </c>
      <c r="M21" t="s">
        <v>29</v>
      </c>
      <c r="N21">
        <v>2025</v>
      </c>
    </row>
    <row r="22" spans="1:14" x14ac:dyDescent="0.25">
      <c r="A22" t="s">
        <v>30</v>
      </c>
      <c r="B22">
        <v>107.08</v>
      </c>
      <c r="C22" t="s">
        <v>29</v>
      </c>
      <c r="D22">
        <v>2023</v>
      </c>
      <c r="F22" t="s">
        <v>30</v>
      </c>
      <c r="G22">
        <v>107.38</v>
      </c>
      <c r="H22" t="s">
        <v>29</v>
      </c>
      <c r="I22">
        <v>2024</v>
      </c>
      <c r="K22" t="s">
        <v>30</v>
      </c>
      <c r="L22">
        <v>106.32</v>
      </c>
      <c r="M22" t="s">
        <v>29</v>
      </c>
      <c r="N22">
        <v>2025</v>
      </c>
    </row>
    <row r="23" spans="1:14" x14ac:dyDescent="0.25">
      <c r="A23" t="s">
        <v>31</v>
      </c>
      <c r="B23">
        <v>106.45</v>
      </c>
      <c r="C23" t="s">
        <v>32</v>
      </c>
      <c r="D23">
        <v>2023</v>
      </c>
      <c r="F23" t="s">
        <v>31</v>
      </c>
      <c r="G23">
        <v>100.4</v>
      </c>
      <c r="H23" t="s">
        <v>32</v>
      </c>
      <c r="I23">
        <v>2024</v>
      </c>
      <c r="K23" t="s">
        <v>31</v>
      </c>
      <c r="L23">
        <v>104.93</v>
      </c>
      <c r="M23" t="s">
        <v>32</v>
      </c>
      <c r="N23">
        <v>2025</v>
      </c>
    </row>
    <row r="24" spans="1:14" x14ac:dyDescent="0.25">
      <c r="A24" t="s">
        <v>33</v>
      </c>
      <c r="B24">
        <v>100.1</v>
      </c>
      <c r="C24" t="s">
        <v>4</v>
      </c>
      <c r="D24">
        <v>2023</v>
      </c>
      <c r="F24" t="s">
        <v>33</v>
      </c>
      <c r="G24">
        <v>110.4</v>
      </c>
      <c r="H24" t="s">
        <v>4</v>
      </c>
      <c r="I24">
        <v>2024</v>
      </c>
      <c r="K24" t="s">
        <v>33</v>
      </c>
      <c r="L24">
        <v>72.44</v>
      </c>
      <c r="M24" t="s">
        <v>4</v>
      </c>
      <c r="N24">
        <v>2025</v>
      </c>
    </row>
    <row r="25" spans="1:14" x14ac:dyDescent="0.25">
      <c r="A25" t="s">
        <v>34</v>
      </c>
      <c r="B25">
        <v>100.52</v>
      </c>
      <c r="C25" t="s">
        <v>14</v>
      </c>
      <c r="D25">
        <v>2023</v>
      </c>
      <c r="F25" t="s">
        <v>34</v>
      </c>
      <c r="G25">
        <v>114.7</v>
      </c>
      <c r="H25" t="s">
        <v>14</v>
      </c>
      <c r="I25">
        <v>2024</v>
      </c>
      <c r="K25" t="s">
        <v>34</v>
      </c>
      <c r="L25">
        <v>105.65</v>
      </c>
      <c r="M25" t="s">
        <v>14</v>
      </c>
      <c r="N25">
        <v>2025</v>
      </c>
    </row>
    <row r="26" spans="1:14" x14ac:dyDescent="0.25">
      <c r="A26" t="s">
        <v>35</v>
      </c>
      <c r="B26">
        <v>96.18</v>
      </c>
      <c r="C26" t="s">
        <v>29</v>
      </c>
      <c r="D26">
        <v>2023</v>
      </c>
      <c r="F26" t="s">
        <v>35</v>
      </c>
      <c r="G26">
        <v>91.53</v>
      </c>
      <c r="H26" t="s">
        <v>29</v>
      </c>
      <c r="I26">
        <v>2024</v>
      </c>
      <c r="K26" t="s">
        <v>35</v>
      </c>
      <c r="L26">
        <v>84.62</v>
      </c>
      <c r="M26" t="s">
        <v>29</v>
      </c>
      <c r="N26">
        <v>2025</v>
      </c>
    </row>
    <row r="27" spans="1:14" x14ac:dyDescent="0.25">
      <c r="A27" t="s">
        <v>36</v>
      </c>
      <c r="B27">
        <v>92.7</v>
      </c>
      <c r="C27" t="s">
        <v>29</v>
      </c>
      <c r="D27">
        <v>2023</v>
      </c>
      <c r="F27" t="s">
        <v>36</v>
      </c>
      <c r="G27">
        <v>95.87</v>
      </c>
      <c r="H27" t="s">
        <v>29</v>
      </c>
      <c r="I27">
        <v>2024</v>
      </c>
      <c r="K27" t="s">
        <v>36</v>
      </c>
      <c r="L27">
        <v>98</v>
      </c>
      <c r="M27" t="s">
        <v>29</v>
      </c>
      <c r="N27">
        <v>2025</v>
      </c>
    </row>
    <row r="28" spans="1:14" x14ac:dyDescent="0.25">
      <c r="A28" t="s">
        <v>37</v>
      </c>
      <c r="B28">
        <v>87.38</v>
      </c>
      <c r="C28" t="s">
        <v>29</v>
      </c>
      <c r="D28">
        <v>2023</v>
      </c>
      <c r="F28" t="s">
        <v>37</v>
      </c>
      <c r="G28">
        <v>82.73</v>
      </c>
      <c r="H28" t="s">
        <v>29</v>
      </c>
      <c r="I28">
        <v>2024</v>
      </c>
      <c r="K28" t="s">
        <v>37</v>
      </c>
      <c r="L28">
        <v>74.45</v>
      </c>
      <c r="M28" t="s">
        <v>29</v>
      </c>
      <c r="N28">
        <v>2025</v>
      </c>
    </row>
    <row r="29" spans="1:14" x14ac:dyDescent="0.25">
      <c r="A29" t="s">
        <v>38</v>
      </c>
      <c r="B29">
        <v>83.2</v>
      </c>
      <c r="C29" t="s">
        <v>7</v>
      </c>
      <c r="D29">
        <v>2023</v>
      </c>
      <c r="F29" t="s">
        <v>38</v>
      </c>
      <c r="G29">
        <v>108.84</v>
      </c>
      <c r="H29" t="s">
        <v>7</v>
      </c>
      <c r="I29">
        <v>2024</v>
      </c>
      <c r="K29" t="s">
        <v>38</v>
      </c>
      <c r="L29">
        <v>93.36</v>
      </c>
      <c r="M29" t="s">
        <v>7</v>
      </c>
      <c r="N29">
        <v>2025</v>
      </c>
    </row>
    <row r="30" spans="1:14" x14ac:dyDescent="0.25">
      <c r="A30" t="s">
        <v>39</v>
      </c>
      <c r="B30">
        <v>75.97</v>
      </c>
      <c r="C30" t="s">
        <v>29</v>
      </c>
      <c r="D30">
        <v>2023</v>
      </c>
      <c r="F30" t="s">
        <v>39</v>
      </c>
      <c r="G30">
        <v>72.17</v>
      </c>
      <c r="H30" t="s">
        <v>29</v>
      </c>
      <c r="I30">
        <v>2024</v>
      </c>
      <c r="K30" t="s">
        <v>39</v>
      </c>
      <c r="L30">
        <v>72.08</v>
      </c>
      <c r="M30" t="s">
        <v>29</v>
      </c>
      <c r="N30">
        <v>2025</v>
      </c>
    </row>
    <row r="31" spans="1:14" x14ac:dyDescent="0.25">
      <c r="A31" t="s">
        <v>40</v>
      </c>
      <c r="B31">
        <v>72.03</v>
      </c>
      <c r="C31" t="s">
        <v>4</v>
      </c>
      <c r="D31">
        <v>2023</v>
      </c>
      <c r="F31" t="s">
        <v>40</v>
      </c>
      <c r="G31">
        <v>63.39</v>
      </c>
      <c r="H31" t="s">
        <v>4</v>
      </c>
      <c r="I31">
        <v>2024</v>
      </c>
      <c r="K31" t="s">
        <v>40</v>
      </c>
      <c r="L31">
        <v>22.78</v>
      </c>
      <c r="M31" t="s">
        <v>4</v>
      </c>
      <c r="N31">
        <v>2025</v>
      </c>
    </row>
    <row r="32" spans="1:14" x14ac:dyDescent="0.25">
      <c r="A32" t="s">
        <v>41</v>
      </c>
      <c r="B32">
        <v>70.010000000000005</v>
      </c>
      <c r="C32" t="s">
        <v>4</v>
      </c>
      <c r="D32">
        <v>2023</v>
      </c>
      <c r="F32" t="s">
        <v>41</v>
      </c>
      <c r="G32">
        <v>58.09</v>
      </c>
      <c r="H32" t="s">
        <v>4</v>
      </c>
      <c r="I32">
        <v>2024</v>
      </c>
      <c r="K32" t="s">
        <v>41</v>
      </c>
      <c r="L32">
        <v>33.9</v>
      </c>
      <c r="M32" t="s">
        <v>4</v>
      </c>
      <c r="N32">
        <v>2025</v>
      </c>
    </row>
    <row r="33" spans="1:14" x14ac:dyDescent="0.25">
      <c r="A33" t="s">
        <v>42</v>
      </c>
      <c r="B33">
        <v>60.07</v>
      </c>
      <c r="C33" t="s">
        <v>29</v>
      </c>
      <c r="D33">
        <v>2023</v>
      </c>
      <c r="F33" t="s">
        <v>42</v>
      </c>
      <c r="G33">
        <v>57.61</v>
      </c>
      <c r="H33" t="s">
        <v>29</v>
      </c>
      <c r="I33">
        <v>2024</v>
      </c>
      <c r="K33" t="s">
        <v>42</v>
      </c>
      <c r="L33">
        <v>55.79</v>
      </c>
      <c r="M33" t="s">
        <v>29</v>
      </c>
      <c r="N33">
        <v>2025</v>
      </c>
    </row>
    <row r="34" spans="1:14" x14ac:dyDescent="0.25">
      <c r="A34" t="s">
        <v>43</v>
      </c>
      <c r="B34">
        <v>57.69</v>
      </c>
      <c r="C34" t="s">
        <v>29</v>
      </c>
      <c r="D34">
        <v>2023</v>
      </c>
      <c r="F34" t="s">
        <v>43</v>
      </c>
      <c r="G34">
        <v>56.47</v>
      </c>
      <c r="H34" t="s">
        <v>29</v>
      </c>
      <c r="I34">
        <v>2024</v>
      </c>
      <c r="K34" t="s">
        <v>43</v>
      </c>
      <c r="L34">
        <v>54.28</v>
      </c>
      <c r="M34" t="s">
        <v>29</v>
      </c>
      <c r="N34">
        <v>2025</v>
      </c>
    </row>
    <row r="35" spans="1:14" x14ac:dyDescent="0.25">
      <c r="A35" t="s">
        <v>44</v>
      </c>
      <c r="B35">
        <v>57.42</v>
      </c>
      <c r="C35" t="s">
        <v>14</v>
      </c>
      <c r="D35">
        <v>2023</v>
      </c>
      <c r="F35" t="s">
        <v>44</v>
      </c>
      <c r="G35">
        <v>58.01</v>
      </c>
      <c r="H35" t="s">
        <v>14</v>
      </c>
      <c r="I35">
        <v>2024</v>
      </c>
      <c r="K35" t="s">
        <v>44</v>
      </c>
      <c r="L35">
        <v>58.78</v>
      </c>
      <c r="M35" t="s">
        <v>14</v>
      </c>
      <c r="N35">
        <v>2025</v>
      </c>
    </row>
    <row r="36" spans="1:14" x14ac:dyDescent="0.25">
      <c r="A36" t="s">
        <v>45</v>
      </c>
      <c r="B36">
        <v>52.8</v>
      </c>
      <c r="C36" t="s">
        <v>29</v>
      </c>
      <c r="D36">
        <v>2023</v>
      </c>
      <c r="F36" t="s">
        <v>45</v>
      </c>
      <c r="G36">
        <v>53.58</v>
      </c>
      <c r="H36" t="s">
        <v>29</v>
      </c>
      <c r="I36">
        <v>2024</v>
      </c>
      <c r="K36" t="s">
        <v>45</v>
      </c>
      <c r="L36">
        <v>51.49</v>
      </c>
      <c r="M36" t="s">
        <v>29</v>
      </c>
      <c r="N36">
        <v>2025</v>
      </c>
    </row>
    <row r="37" spans="1:14" x14ac:dyDescent="0.25">
      <c r="A37" t="s">
        <v>46</v>
      </c>
      <c r="B37">
        <v>45.53</v>
      </c>
      <c r="C37" t="s">
        <v>4</v>
      </c>
      <c r="D37">
        <v>2023</v>
      </c>
      <c r="F37" t="s">
        <v>46</v>
      </c>
      <c r="G37">
        <v>58.03</v>
      </c>
      <c r="H37" t="s">
        <v>4</v>
      </c>
      <c r="I37">
        <v>2024</v>
      </c>
      <c r="K37" t="s">
        <v>46</v>
      </c>
      <c r="L37">
        <v>55.42</v>
      </c>
      <c r="M37" t="s">
        <v>4</v>
      </c>
      <c r="N37">
        <v>2025</v>
      </c>
    </row>
    <row r="38" spans="1:14" x14ac:dyDescent="0.25">
      <c r="A38" t="s">
        <v>47</v>
      </c>
      <c r="B38">
        <v>44.6</v>
      </c>
      <c r="C38" t="s">
        <v>48</v>
      </c>
      <c r="D38">
        <v>2023</v>
      </c>
      <c r="F38" t="s">
        <v>47</v>
      </c>
      <c r="G38">
        <v>53.85</v>
      </c>
      <c r="H38" t="s">
        <v>48</v>
      </c>
      <c r="I38">
        <v>2024</v>
      </c>
      <c r="K38" t="s">
        <v>47</v>
      </c>
      <c r="L38">
        <v>61.06</v>
      </c>
      <c r="M38" t="s">
        <v>48</v>
      </c>
      <c r="N38">
        <v>2025</v>
      </c>
    </row>
    <row r="39" spans="1:14" x14ac:dyDescent="0.25">
      <c r="A39" t="s">
        <v>49</v>
      </c>
      <c r="B39">
        <v>42.46</v>
      </c>
      <c r="C39" t="s">
        <v>29</v>
      </c>
      <c r="D39">
        <v>2023</v>
      </c>
      <c r="F39" t="s">
        <v>49</v>
      </c>
      <c r="G39">
        <v>39.909999999999997</v>
      </c>
      <c r="H39" t="s">
        <v>29</v>
      </c>
      <c r="I39">
        <v>2024</v>
      </c>
      <c r="K39" t="s">
        <v>49</v>
      </c>
      <c r="L39">
        <v>38.68</v>
      </c>
      <c r="M39" t="s">
        <v>29</v>
      </c>
      <c r="N39">
        <v>2025</v>
      </c>
    </row>
    <row r="40" spans="1:14" x14ac:dyDescent="0.25">
      <c r="A40" t="s">
        <v>50</v>
      </c>
      <c r="B40">
        <v>42.19</v>
      </c>
      <c r="C40" t="s">
        <v>32</v>
      </c>
      <c r="D40">
        <v>2023</v>
      </c>
      <c r="F40" t="s">
        <v>50</v>
      </c>
      <c r="G40">
        <v>51.52</v>
      </c>
      <c r="H40" t="s">
        <v>32</v>
      </c>
      <c r="I40">
        <v>2024</v>
      </c>
      <c r="K40" t="s">
        <v>50</v>
      </c>
      <c r="L40">
        <v>66.61</v>
      </c>
      <c r="M40" t="s">
        <v>32</v>
      </c>
      <c r="N40">
        <v>2025</v>
      </c>
    </row>
    <row r="41" spans="1:14" x14ac:dyDescent="0.25">
      <c r="A41" t="s">
        <v>51</v>
      </c>
      <c r="B41">
        <v>42.19</v>
      </c>
      <c r="C41" t="s">
        <v>48</v>
      </c>
      <c r="D41">
        <v>2023</v>
      </c>
      <c r="F41" t="s">
        <v>51</v>
      </c>
      <c r="G41">
        <v>53.91</v>
      </c>
      <c r="H41" t="s">
        <v>48</v>
      </c>
      <c r="I41">
        <v>2024</v>
      </c>
      <c r="K41" t="s">
        <v>51</v>
      </c>
      <c r="L41">
        <v>48.47</v>
      </c>
      <c r="M41" t="s">
        <v>48</v>
      </c>
      <c r="N41">
        <v>2025</v>
      </c>
    </row>
    <row r="42" spans="1:14" x14ac:dyDescent="0.25">
      <c r="A42" t="s">
        <v>52</v>
      </c>
      <c r="B42">
        <v>41.75</v>
      </c>
      <c r="C42" t="s">
        <v>29</v>
      </c>
      <c r="D42">
        <v>2023</v>
      </c>
      <c r="F42" t="s">
        <v>52</v>
      </c>
      <c r="G42">
        <v>39.78</v>
      </c>
      <c r="H42" t="s">
        <v>29</v>
      </c>
      <c r="I42">
        <v>2024</v>
      </c>
      <c r="K42" t="s">
        <v>52</v>
      </c>
      <c r="L42">
        <v>38.83</v>
      </c>
      <c r="M42" t="s">
        <v>29</v>
      </c>
      <c r="N42">
        <v>2025</v>
      </c>
    </row>
    <row r="43" spans="1:14" x14ac:dyDescent="0.25">
      <c r="A43" t="s">
        <v>53</v>
      </c>
      <c r="B43">
        <v>39.4</v>
      </c>
      <c r="C43" t="s">
        <v>48</v>
      </c>
      <c r="D43">
        <v>2023</v>
      </c>
      <c r="F43" t="s">
        <v>53</v>
      </c>
      <c r="G43">
        <v>51.31</v>
      </c>
      <c r="H43" t="s">
        <v>48</v>
      </c>
      <c r="I43">
        <v>2024</v>
      </c>
      <c r="K43" t="s">
        <v>53</v>
      </c>
      <c r="L43">
        <v>58.93</v>
      </c>
      <c r="M43" t="s">
        <v>48</v>
      </c>
      <c r="N43">
        <v>2025</v>
      </c>
    </row>
    <row r="44" spans="1:14" x14ac:dyDescent="0.25">
      <c r="A44" t="s">
        <v>54</v>
      </c>
      <c r="B44">
        <v>38.83</v>
      </c>
      <c r="C44" t="s">
        <v>48</v>
      </c>
      <c r="D44">
        <v>2023</v>
      </c>
      <c r="F44" t="s">
        <v>54</v>
      </c>
      <c r="G44">
        <v>45.18</v>
      </c>
      <c r="H44" t="s">
        <v>48</v>
      </c>
      <c r="I44">
        <v>2024</v>
      </c>
      <c r="K44" t="s">
        <v>54</v>
      </c>
      <c r="L44">
        <v>42.32</v>
      </c>
      <c r="M44" t="s">
        <v>48</v>
      </c>
      <c r="N44">
        <v>2025</v>
      </c>
    </row>
    <row r="45" spans="1:14" x14ac:dyDescent="0.25">
      <c r="A45" t="s">
        <v>55</v>
      </c>
      <c r="B45">
        <v>38.65</v>
      </c>
      <c r="C45" t="s">
        <v>14</v>
      </c>
      <c r="D45">
        <v>2023</v>
      </c>
      <c r="F45" t="s">
        <v>55</v>
      </c>
      <c r="G45">
        <v>32.19</v>
      </c>
      <c r="H45" t="s">
        <v>14</v>
      </c>
      <c r="I45">
        <v>2024</v>
      </c>
      <c r="K45" t="s">
        <v>55</v>
      </c>
      <c r="L45">
        <v>36.89</v>
      </c>
      <c r="M45" t="s">
        <v>14</v>
      </c>
      <c r="N45">
        <v>2025</v>
      </c>
    </row>
    <row r="46" spans="1:14" x14ac:dyDescent="0.25">
      <c r="A46" t="s">
        <v>56</v>
      </c>
      <c r="B46">
        <v>34.82</v>
      </c>
      <c r="C46" t="s">
        <v>29</v>
      </c>
      <c r="D46">
        <v>2023</v>
      </c>
      <c r="F46" t="s">
        <v>56</v>
      </c>
      <c r="G46">
        <v>34.75</v>
      </c>
      <c r="H46" t="s">
        <v>29</v>
      </c>
      <c r="I46">
        <v>2024</v>
      </c>
      <c r="K46" t="s">
        <v>56</v>
      </c>
      <c r="L46">
        <v>34.74</v>
      </c>
      <c r="M46" t="s">
        <v>29</v>
      </c>
      <c r="N46">
        <v>2025</v>
      </c>
    </row>
    <row r="47" spans="1:14" x14ac:dyDescent="0.25">
      <c r="A47" t="s">
        <v>57</v>
      </c>
      <c r="B47">
        <v>33.340000000000003</v>
      </c>
      <c r="C47" t="s">
        <v>48</v>
      </c>
      <c r="D47">
        <v>2023</v>
      </c>
      <c r="F47" t="s">
        <v>57</v>
      </c>
      <c r="G47">
        <v>32.36</v>
      </c>
      <c r="H47" t="s">
        <v>48</v>
      </c>
      <c r="I47">
        <v>2024</v>
      </c>
      <c r="K47" t="s">
        <v>57</v>
      </c>
      <c r="L47">
        <v>34.659999999999997</v>
      </c>
      <c r="M47" t="s">
        <v>48</v>
      </c>
      <c r="N47">
        <v>2025</v>
      </c>
    </row>
    <row r="48" spans="1:14" x14ac:dyDescent="0.25">
      <c r="A48" t="s">
        <v>58</v>
      </c>
      <c r="B48">
        <v>33.04</v>
      </c>
      <c r="C48" t="s">
        <v>59</v>
      </c>
      <c r="D48">
        <v>2023</v>
      </c>
      <c r="F48" t="s">
        <v>58</v>
      </c>
      <c r="G48">
        <v>23.23</v>
      </c>
      <c r="H48" t="s">
        <v>59</v>
      </c>
      <c r="I48">
        <v>2024</v>
      </c>
      <c r="K48" t="s">
        <v>58</v>
      </c>
      <c r="L48">
        <v>4.5999999999999996</v>
      </c>
      <c r="M48" t="s">
        <v>59</v>
      </c>
      <c r="N48">
        <v>2025</v>
      </c>
    </row>
    <row r="49" spans="1:14" x14ac:dyDescent="0.25">
      <c r="A49" t="s">
        <v>60</v>
      </c>
      <c r="B49">
        <v>32.590000000000003</v>
      </c>
      <c r="C49" t="s">
        <v>14</v>
      </c>
      <c r="D49">
        <v>2023</v>
      </c>
      <c r="F49" t="s">
        <v>60</v>
      </c>
      <c r="G49">
        <v>40.47</v>
      </c>
      <c r="H49" t="s">
        <v>14</v>
      </c>
      <c r="I49">
        <v>2024</v>
      </c>
      <c r="K49" t="s">
        <v>60</v>
      </c>
      <c r="L49">
        <v>40.49</v>
      </c>
      <c r="M49" t="s">
        <v>14</v>
      </c>
      <c r="N49">
        <v>2025</v>
      </c>
    </row>
    <row r="50" spans="1:14" x14ac:dyDescent="0.25">
      <c r="A50" t="s">
        <v>61</v>
      </c>
      <c r="B50">
        <v>32.35</v>
      </c>
      <c r="C50" t="s">
        <v>48</v>
      </c>
      <c r="D50">
        <v>2023</v>
      </c>
      <c r="F50" t="s">
        <v>61</v>
      </c>
      <c r="G50">
        <v>37.44</v>
      </c>
      <c r="H50" t="s">
        <v>48</v>
      </c>
      <c r="I50">
        <v>2024</v>
      </c>
      <c r="K50" t="s">
        <v>61</v>
      </c>
      <c r="L50">
        <v>36.97</v>
      </c>
      <c r="M50" t="s">
        <v>48</v>
      </c>
      <c r="N50">
        <v>2025</v>
      </c>
    </row>
    <row r="51" spans="1:14" x14ac:dyDescent="0.25">
      <c r="A51" t="s">
        <v>62</v>
      </c>
      <c r="B51">
        <v>30.82</v>
      </c>
      <c r="C51" t="s">
        <v>48</v>
      </c>
      <c r="D51">
        <v>2023</v>
      </c>
      <c r="F51" t="s">
        <v>62</v>
      </c>
      <c r="G51">
        <v>37.47</v>
      </c>
      <c r="H51" t="s">
        <v>48</v>
      </c>
      <c r="I51">
        <v>2024</v>
      </c>
      <c r="K51" t="s">
        <v>62</v>
      </c>
      <c r="L51">
        <v>35.299999999999997</v>
      </c>
      <c r="M51" t="s">
        <v>48</v>
      </c>
      <c r="N51">
        <v>2025</v>
      </c>
    </row>
    <row r="52" spans="1:14" x14ac:dyDescent="0.25">
      <c r="A52" t="s">
        <v>63</v>
      </c>
      <c r="B52">
        <v>30.81</v>
      </c>
      <c r="C52" t="s">
        <v>48</v>
      </c>
      <c r="D52">
        <v>2023</v>
      </c>
      <c r="F52" t="s">
        <v>63</v>
      </c>
      <c r="G52">
        <v>35.1</v>
      </c>
      <c r="H52" t="s">
        <v>48</v>
      </c>
      <c r="I52">
        <v>2024</v>
      </c>
      <c r="K52" t="s">
        <v>63</v>
      </c>
      <c r="L52">
        <v>33.85</v>
      </c>
      <c r="M52" t="s">
        <v>48</v>
      </c>
      <c r="N52">
        <v>2025</v>
      </c>
    </row>
    <row r="53" spans="1:14" x14ac:dyDescent="0.25">
      <c r="A53" t="s">
        <v>64</v>
      </c>
      <c r="B53">
        <v>30.04</v>
      </c>
      <c r="C53" t="s">
        <v>48</v>
      </c>
      <c r="D53">
        <v>2023</v>
      </c>
      <c r="F53" t="s">
        <v>64</v>
      </c>
      <c r="G53">
        <v>42.55</v>
      </c>
      <c r="H53" t="s">
        <v>48</v>
      </c>
      <c r="I53">
        <v>2024</v>
      </c>
      <c r="K53" t="s">
        <v>64</v>
      </c>
      <c r="L53">
        <v>32.049999999999997</v>
      </c>
      <c r="M53" t="s">
        <v>48</v>
      </c>
      <c r="N53">
        <v>2025</v>
      </c>
    </row>
    <row r="54" spans="1:14" x14ac:dyDescent="0.25">
      <c r="A54" t="s">
        <v>65</v>
      </c>
      <c r="B54">
        <v>29.01</v>
      </c>
      <c r="C54" t="s">
        <v>48</v>
      </c>
      <c r="D54">
        <v>2023</v>
      </c>
      <c r="F54" t="s">
        <v>65</v>
      </c>
      <c r="G54">
        <v>33.07</v>
      </c>
      <c r="H54" t="s">
        <v>48</v>
      </c>
      <c r="I54">
        <v>2024</v>
      </c>
      <c r="K54" t="s">
        <v>65</v>
      </c>
      <c r="L54">
        <v>36.130000000000003</v>
      </c>
      <c r="M54" t="s">
        <v>48</v>
      </c>
      <c r="N54">
        <v>2025</v>
      </c>
    </row>
    <row r="55" spans="1:14" x14ac:dyDescent="0.25">
      <c r="A55" t="s">
        <v>66</v>
      </c>
      <c r="B55">
        <v>28.5</v>
      </c>
      <c r="C55" t="s">
        <v>29</v>
      </c>
      <c r="D55">
        <v>2023</v>
      </c>
      <c r="F55" t="s">
        <v>66</v>
      </c>
      <c r="G55">
        <v>25.25</v>
      </c>
      <c r="H55" t="s">
        <v>29</v>
      </c>
      <c r="I55">
        <v>2024</v>
      </c>
      <c r="K55" t="s">
        <v>66</v>
      </c>
      <c r="L55">
        <v>22.71</v>
      </c>
      <c r="M55" t="s">
        <v>29</v>
      </c>
      <c r="N55">
        <v>2025</v>
      </c>
    </row>
    <row r="56" spans="1:14" x14ac:dyDescent="0.25">
      <c r="A56" t="s">
        <v>67</v>
      </c>
      <c r="B56">
        <v>26.67</v>
      </c>
      <c r="C56" t="s">
        <v>48</v>
      </c>
      <c r="D56">
        <v>2023</v>
      </c>
      <c r="F56" t="s">
        <v>67</v>
      </c>
      <c r="G56">
        <v>29.18</v>
      </c>
      <c r="H56" t="s">
        <v>48</v>
      </c>
      <c r="I56">
        <v>2024</v>
      </c>
      <c r="K56" t="s">
        <v>67</v>
      </c>
      <c r="L56">
        <v>32.97</v>
      </c>
      <c r="M56" t="s">
        <v>48</v>
      </c>
      <c r="N56">
        <v>2025</v>
      </c>
    </row>
    <row r="57" spans="1:14" x14ac:dyDescent="0.25">
      <c r="A57" t="s">
        <v>68</v>
      </c>
      <c r="B57">
        <v>24.8</v>
      </c>
      <c r="C57" t="s">
        <v>48</v>
      </c>
      <c r="D57">
        <v>2023</v>
      </c>
      <c r="F57" t="s">
        <v>68</v>
      </c>
      <c r="G57">
        <v>22.8</v>
      </c>
      <c r="H57" t="s">
        <v>48</v>
      </c>
      <c r="I57">
        <v>2024</v>
      </c>
      <c r="K57" t="s">
        <v>68</v>
      </c>
      <c r="L57">
        <v>26.89</v>
      </c>
      <c r="M57" t="s">
        <v>48</v>
      </c>
      <c r="N57">
        <v>2025</v>
      </c>
    </row>
    <row r="58" spans="1:14" x14ac:dyDescent="0.25">
      <c r="A58" t="s">
        <v>69</v>
      </c>
      <c r="B58">
        <v>24.76</v>
      </c>
      <c r="C58" t="s">
        <v>29</v>
      </c>
      <c r="D58">
        <v>2023</v>
      </c>
      <c r="F58" t="s">
        <v>69</v>
      </c>
      <c r="G58">
        <v>23.68</v>
      </c>
      <c r="H58" t="s">
        <v>29</v>
      </c>
      <c r="I58">
        <v>2024</v>
      </c>
      <c r="K58" t="s">
        <v>69</v>
      </c>
      <c r="L58">
        <v>21.37</v>
      </c>
      <c r="M58" t="s">
        <v>29</v>
      </c>
      <c r="N58">
        <v>2025</v>
      </c>
    </row>
    <row r="59" spans="1:14" x14ac:dyDescent="0.25">
      <c r="A59" t="s">
        <v>70</v>
      </c>
      <c r="B59">
        <v>23.58</v>
      </c>
      <c r="C59" t="s">
        <v>29</v>
      </c>
      <c r="D59">
        <v>2023</v>
      </c>
      <c r="F59" t="s">
        <v>70</v>
      </c>
      <c r="G59">
        <v>22.77</v>
      </c>
      <c r="H59" t="s">
        <v>29</v>
      </c>
      <c r="I59">
        <v>2024</v>
      </c>
      <c r="K59" t="s">
        <v>70</v>
      </c>
      <c r="L59">
        <v>15.67</v>
      </c>
      <c r="M59" t="s">
        <v>29</v>
      </c>
      <c r="N59">
        <v>2025</v>
      </c>
    </row>
    <row r="60" spans="1:14" x14ac:dyDescent="0.25">
      <c r="A60" t="s">
        <v>71</v>
      </c>
      <c r="B60">
        <v>23.45</v>
      </c>
      <c r="C60" t="s">
        <v>48</v>
      </c>
      <c r="D60">
        <v>2023</v>
      </c>
      <c r="F60" t="s">
        <v>71</v>
      </c>
      <c r="G60">
        <v>67.87</v>
      </c>
      <c r="H60" t="s">
        <v>48</v>
      </c>
      <c r="I60">
        <v>2024</v>
      </c>
      <c r="K60" t="s">
        <v>71</v>
      </c>
      <c r="L60">
        <v>60.48</v>
      </c>
      <c r="M60" t="s">
        <v>48</v>
      </c>
      <c r="N60">
        <v>2025</v>
      </c>
    </row>
    <row r="61" spans="1:14" x14ac:dyDescent="0.25">
      <c r="A61" t="s">
        <v>72</v>
      </c>
      <c r="B61">
        <v>22.55</v>
      </c>
      <c r="C61" t="s">
        <v>29</v>
      </c>
      <c r="D61">
        <v>2023</v>
      </c>
      <c r="F61" t="s">
        <v>72</v>
      </c>
      <c r="G61">
        <v>21.75</v>
      </c>
      <c r="H61" t="s">
        <v>29</v>
      </c>
      <c r="I61">
        <v>2024</v>
      </c>
      <c r="K61" t="s">
        <v>72</v>
      </c>
      <c r="L61">
        <v>15.09</v>
      </c>
      <c r="M61" t="s">
        <v>29</v>
      </c>
      <c r="N61">
        <v>2025</v>
      </c>
    </row>
    <row r="62" spans="1:14" x14ac:dyDescent="0.25">
      <c r="A62" t="s">
        <v>73</v>
      </c>
      <c r="B62">
        <v>22.45</v>
      </c>
      <c r="C62" t="s">
        <v>48</v>
      </c>
      <c r="D62">
        <v>2023</v>
      </c>
      <c r="F62" t="s">
        <v>73</v>
      </c>
      <c r="G62">
        <v>28.24</v>
      </c>
      <c r="H62" t="s">
        <v>48</v>
      </c>
      <c r="I62">
        <v>2024</v>
      </c>
      <c r="K62" t="s">
        <v>73</v>
      </c>
      <c r="L62">
        <v>30.75</v>
      </c>
      <c r="M62" t="s">
        <v>48</v>
      </c>
      <c r="N62">
        <v>2025</v>
      </c>
    </row>
    <row r="63" spans="1:14" x14ac:dyDescent="0.25">
      <c r="A63" t="s">
        <v>74</v>
      </c>
      <c r="B63">
        <v>21.73</v>
      </c>
      <c r="C63" t="s">
        <v>14</v>
      </c>
      <c r="D63">
        <v>2023</v>
      </c>
      <c r="F63" t="s">
        <v>74</v>
      </c>
      <c r="G63">
        <v>18.61</v>
      </c>
      <c r="H63" t="s">
        <v>14</v>
      </c>
      <c r="I63">
        <v>2024</v>
      </c>
      <c r="K63" t="s">
        <v>74</v>
      </c>
      <c r="L63">
        <v>18.510000000000002</v>
      </c>
      <c r="M63" t="s">
        <v>14</v>
      </c>
      <c r="N63">
        <v>2025</v>
      </c>
    </row>
    <row r="64" spans="1:14" x14ac:dyDescent="0.25">
      <c r="A64" t="s">
        <v>75</v>
      </c>
      <c r="B64">
        <v>20.420000000000002</v>
      </c>
      <c r="C64" t="s">
        <v>48</v>
      </c>
      <c r="D64">
        <v>2023</v>
      </c>
      <c r="F64" t="s">
        <v>75</v>
      </c>
      <c r="G64">
        <v>29.67</v>
      </c>
      <c r="H64" t="s">
        <v>48</v>
      </c>
      <c r="I64">
        <v>2024</v>
      </c>
      <c r="K64" t="s">
        <v>75</v>
      </c>
      <c r="L64">
        <v>26.4</v>
      </c>
      <c r="M64" t="s">
        <v>48</v>
      </c>
      <c r="N64">
        <v>2025</v>
      </c>
    </row>
    <row r="65" spans="1:14" x14ac:dyDescent="0.25">
      <c r="A65" t="s">
        <v>76</v>
      </c>
      <c r="B65">
        <v>20</v>
      </c>
      <c r="C65" t="s">
        <v>48</v>
      </c>
      <c r="D65">
        <v>2023</v>
      </c>
      <c r="F65" t="s">
        <v>76</v>
      </c>
      <c r="G65">
        <v>24.2</v>
      </c>
      <c r="H65" t="s">
        <v>48</v>
      </c>
      <c r="I65">
        <v>2024</v>
      </c>
      <c r="K65" t="s">
        <v>76</v>
      </c>
      <c r="L65">
        <v>26.26</v>
      </c>
      <c r="M65" t="s">
        <v>48</v>
      </c>
      <c r="N65">
        <v>2025</v>
      </c>
    </row>
    <row r="66" spans="1:14" x14ac:dyDescent="0.25">
      <c r="A66" t="s">
        <v>77</v>
      </c>
      <c r="B66">
        <v>19.440000000000001</v>
      </c>
      <c r="C66" t="s">
        <v>48</v>
      </c>
      <c r="D66">
        <v>2023</v>
      </c>
      <c r="F66" t="s">
        <v>77</v>
      </c>
      <c r="G66">
        <v>16.309999999999999</v>
      </c>
      <c r="H66" t="s">
        <v>48</v>
      </c>
      <c r="I66">
        <v>2024</v>
      </c>
      <c r="K66" t="s">
        <v>77</v>
      </c>
      <c r="L66">
        <v>20.16</v>
      </c>
      <c r="M66" t="s">
        <v>48</v>
      </c>
      <c r="N66">
        <v>2025</v>
      </c>
    </row>
    <row r="67" spans="1:14" x14ac:dyDescent="0.25">
      <c r="A67" t="s">
        <v>78</v>
      </c>
      <c r="B67">
        <v>18.7</v>
      </c>
      <c r="C67" t="s">
        <v>48</v>
      </c>
      <c r="D67">
        <v>2023</v>
      </c>
      <c r="F67" t="s">
        <v>78</v>
      </c>
      <c r="G67">
        <v>28.54</v>
      </c>
      <c r="H67" t="s">
        <v>48</v>
      </c>
      <c r="I67">
        <v>2024</v>
      </c>
      <c r="K67" t="s">
        <v>78</v>
      </c>
      <c r="L67">
        <v>25.59</v>
      </c>
      <c r="M67" t="s">
        <v>48</v>
      </c>
      <c r="N67">
        <v>2025</v>
      </c>
    </row>
    <row r="68" spans="1:14" x14ac:dyDescent="0.25">
      <c r="A68" t="s">
        <v>79</v>
      </c>
      <c r="B68">
        <v>17.600000000000001</v>
      </c>
      <c r="C68" t="s">
        <v>29</v>
      </c>
      <c r="D68">
        <v>2023</v>
      </c>
      <c r="F68" t="s">
        <v>79</v>
      </c>
      <c r="G68">
        <v>16.57</v>
      </c>
      <c r="H68" t="s">
        <v>29</v>
      </c>
      <c r="I68">
        <v>2024</v>
      </c>
      <c r="K68" t="s">
        <v>79</v>
      </c>
      <c r="L68">
        <v>15.51</v>
      </c>
      <c r="M68" t="s">
        <v>29</v>
      </c>
      <c r="N68">
        <v>2025</v>
      </c>
    </row>
    <row r="69" spans="1:14" x14ac:dyDescent="0.25">
      <c r="A69" t="s">
        <v>80</v>
      </c>
      <c r="B69">
        <v>15.37</v>
      </c>
      <c r="C69" t="s">
        <v>48</v>
      </c>
      <c r="D69">
        <v>2023</v>
      </c>
      <c r="F69" t="s">
        <v>80</v>
      </c>
      <c r="G69">
        <v>7.73</v>
      </c>
      <c r="H69" t="s">
        <v>48</v>
      </c>
      <c r="I69">
        <v>2024</v>
      </c>
      <c r="K69" t="s">
        <v>80</v>
      </c>
      <c r="L69">
        <v>9.39</v>
      </c>
      <c r="M69" t="s">
        <v>48</v>
      </c>
      <c r="N69">
        <v>2025</v>
      </c>
    </row>
    <row r="70" spans="1:14" x14ac:dyDescent="0.25">
      <c r="A70" t="s">
        <v>81</v>
      </c>
      <c r="B70">
        <v>15.12</v>
      </c>
      <c r="C70" t="s">
        <v>48</v>
      </c>
      <c r="D70">
        <v>2023</v>
      </c>
      <c r="F70" t="s">
        <v>81</v>
      </c>
      <c r="G70">
        <v>17.87</v>
      </c>
      <c r="H70" t="s">
        <v>48</v>
      </c>
      <c r="I70">
        <v>2024</v>
      </c>
      <c r="K70" t="s">
        <v>81</v>
      </c>
      <c r="L70">
        <v>18.73</v>
      </c>
      <c r="M70" t="s">
        <v>48</v>
      </c>
      <c r="N70">
        <v>2025</v>
      </c>
    </row>
    <row r="71" spans="1:14" x14ac:dyDescent="0.25">
      <c r="A71" t="s">
        <v>82</v>
      </c>
      <c r="B71">
        <v>15.05</v>
      </c>
      <c r="C71" t="s">
        <v>48</v>
      </c>
      <c r="D71">
        <v>2023</v>
      </c>
      <c r="F71" t="s">
        <v>82</v>
      </c>
      <c r="G71">
        <v>15.73</v>
      </c>
      <c r="H71" t="s">
        <v>48</v>
      </c>
      <c r="I71">
        <v>2024</v>
      </c>
      <c r="K71" t="s">
        <v>82</v>
      </c>
      <c r="L71">
        <v>15.89</v>
      </c>
      <c r="M71" t="s">
        <v>48</v>
      </c>
      <c r="N71">
        <v>2025</v>
      </c>
    </row>
    <row r="72" spans="1:14" x14ac:dyDescent="0.25">
      <c r="A72" t="s">
        <v>83</v>
      </c>
      <c r="B72">
        <v>14.33</v>
      </c>
      <c r="C72" t="s">
        <v>48</v>
      </c>
      <c r="D72">
        <v>2023</v>
      </c>
      <c r="F72" t="s">
        <v>83</v>
      </c>
      <c r="G72">
        <v>16.45</v>
      </c>
      <c r="H72" t="s">
        <v>48</v>
      </c>
      <c r="I72">
        <v>2024</v>
      </c>
      <c r="K72" t="s">
        <v>83</v>
      </c>
      <c r="L72">
        <v>18.12</v>
      </c>
      <c r="M72" t="s">
        <v>48</v>
      </c>
      <c r="N72">
        <v>2025</v>
      </c>
    </row>
    <row r="73" spans="1:14" x14ac:dyDescent="0.25">
      <c r="A73" t="s">
        <v>84</v>
      </c>
      <c r="B73">
        <v>13.28</v>
      </c>
      <c r="C73" t="s">
        <v>48</v>
      </c>
      <c r="D73">
        <v>2023</v>
      </c>
      <c r="F73" t="s">
        <v>84</v>
      </c>
      <c r="G73">
        <v>14.5</v>
      </c>
      <c r="H73" t="s">
        <v>48</v>
      </c>
      <c r="I73">
        <v>2024</v>
      </c>
      <c r="K73" t="s">
        <v>84</v>
      </c>
      <c r="L73">
        <v>14.12</v>
      </c>
      <c r="M73" t="s">
        <v>48</v>
      </c>
      <c r="N73">
        <v>2025</v>
      </c>
    </row>
    <row r="74" spans="1:14" x14ac:dyDescent="0.25">
      <c r="A74" t="s">
        <v>85</v>
      </c>
      <c r="B74">
        <v>12.99</v>
      </c>
      <c r="C74" t="s">
        <v>29</v>
      </c>
      <c r="D74">
        <v>2023</v>
      </c>
      <c r="F74" t="s">
        <v>85</v>
      </c>
      <c r="G74">
        <v>12.75</v>
      </c>
      <c r="H74" t="s">
        <v>29</v>
      </c>
      <c r="I74">
        <v>2024</v>
      </c>
      <c r="K74" t="s">
        <v>85</v>
      </c>
      <c r="L74">
        <v>8.9499999999999993</v>
      </c>
      <c r="M74" t="s">
        <v>29</v>
      </c>
      <c r="N74">
        <v>2025</v>
      </c>
    </row>
    <row r="75" spans="1:14" x14ac:dyDescent="0.25">
      <c r="A75" t="s">
        <v>86</v>
      </c>
      <c r="B75">
        <v>12.6</v>
      </c>
      <c r="C75" t="s">
        <v>48</v>
      </c>
      <c r="D75">
        <v>2023</v>
      </c>
      <c r="F75" t="s">
        <v>86</v>
      </c>
      <c r="G75">
        <v>14.11</v>
      </c>
      <c r="H75" t="s">
        <v>48</v>
      </c>
      <c r="I75">
        <v>2024</v>
      </c>
      <c r="K75" t="s">
        <v>86</v>
      </c>
      <c r="L75">
        <v>16.48</v>
      </c>
      <c r="M75" t="s">
        <v>48</v>
      </c>
      <c r="N75">
        <v>2025</v>
      </c>
    </row>
    <row r="76" spans="1:14" x14ac:dyDescent="0.25">
      <c r="A76" t="s">
        <v>87</v>
      </c>
      <c r="B76">
        <v>12.21</v>
      </c>
      <c r="C76" t="s">
        <v>4</v>
      </c>
      <c r="D76">
        <v>2023</v>
      </c>
      <c r="F76" t="s">
        <v>87</v>
      </c>
      <c r="G76">
        <v>14.51</v>
      </c>
      <c r="H76" t="s">
        <v>4</v>
      </c>
      <c r="I76">
        <v>2024</v>
      </c>
      <c r="K76" t="s">
        <v>87</v>
      </c>
      <c r="L76">
        <v>5.51</v>
      </c>
      <c r="M76" t="s">
        <v>4</v>
      </c>
      <c r="N76">
        <v>2025</v>
      </c>
    </row>
    <row r="77" spans="1:14" x14ac:dyDescent="0.25">
      <c r="A77" t="s">
        <v>88</v>
      </c>
      <c r="B77">
        <v>10.28</v>
      </c>
      <c r="C77" t="s">
        <v>4</v>
      </c>
      <c r="D77">
        <v>2023</v>
      </c>
      <c r="F77" t="s">
        <v>88</v>
      </c>
      <c r="G77">
        <v>22.88</v>
      </c>
      <c r="H77" t="s">
        <v>4</v>
      </c>
      <c r="I77">
        <v>2024</v>
      </c>
      <c r="K77" t="s">
        <v>88</v>
      </c>
      <c r="L77">
        <v>6.04</v>
      </c>
      <c r="M77" t="s">
        <v>4</v>
      </c>
      <c r="N77">
        <v>2025</v>
      </c>
    </row>
    <row r="78" spans="1:14" x14ac:dyDescent="0.25">
      <c r="A78" t="s">
        <v>89</v>
      </c>
      <c r="B78">
        <v>9.52</v>
      </c>
      <c r="C78" t="s">
        <v>48</v>
      </c>
      <c r="D78">
        <v>2023</v>
      </c>
      <c r="F78" t="s">
        <v>89</v>
      </c>
      <c r="G78">
        <v>8.83</v>
      </c>
      <c r="H78" t="s">
        <v>48</v>
      </c>
      <c r="I78">
        <v>2024</v>
      </c>
      <c r="K78" t="s">
        <v>89</v>
      </c>
      <c r="L78">
        <v>9.6300000000000008</v>
      </c>
      <c r="M78" t="s">
        <v>48</v>
      </c>
      <c r="N78">
        <v>2025</v>
      </c>
    </row>
    <row r="79" spans="1:14" x14ac:dyDescent="0.25">
      <c r="A79" t="s">
        <v>90</v>
      </c>
      <c r="B79">
        <v>9</v>
      </c>
      <c r="C79" t="s">
        <v>59</v>
      </c>
      <c r="D79">
        <v>2023</v>
      </c>
      <c r="F79" t="s">
        <v>90</v>
      </c>
      <c r="G79">
        <v>30.46</v>
      </c>
      <c r="H79" t="s">
        <v>59</v>
      </c>
      <c r="I79">
        <v>2024</v>
      </c>
      <c r="K79" t="s">
        <v>90</v>
      </c>
      <c r="L79">
        <v>12.08</v>
      </c>
      <c r="M79" t="s">
        <v>59</v>
      </c>
      <c r="N79">
        <v>2025</v>
      </c>
    </row>
    <row r="80" spans="1:14" x14ac:dyDescent="0.25">
      <c r="A80" t="s">
        <v>91</v>
      </c>
      <c r="B80">
        <v>8.82</v>
      </c>
      <c r="C80" t="s">
        <v>48</v>
      </c>
      <c r="D80">
        <v>2023</v>
      </c>
      <c r="F80" t="s">
        <v>91</v>
      </c>
      <c r="G80">
        <v>11.89</v>
      </c>
      <c r="H80" t="s">
        <v>48</v>
      </c>
      <c r="I80">
        <v>2024</v>
      </c>
      <c r="K80" t="s">
        <v>91</v>
      </c>
      <c r="L80">
        <v>11.45</v>
      </c>
      <c r="M80" t="s">
        <v>48</v>
      </c>
      <c r="N80">
        <v>2025</v>
      </c>
    </row>
    <row r="81" spans="1:14" x14ac:dyDescent="0.25">
      <c r="A81" t="s">
        <v>92</v>
      </c>
      <c r="B81">
        <v>8.2200000000000006</v>
      </c>
      <c r="C81" t="s">
        <v>48</v>
      </c>
      <c r="D81">
        <v>2023</v>
      </c>
      <c r="F81" t="s">
        <v>92</v>
      </c>
      <c r="G81">
        <v>8.6999999999999993</v>
      </c>
      <c r="H81" t="s">
        <v>48</v>
      </c>
      <c r="I81">
        <v>2024</v>
      </c>
      <c r="K81" t="s">
        <v>92</v>
      </c>
      <c r="L81">
        <v>8.75</v>
      </c>
      <c r="M81" t="s">
        <v>48</v>
      </c>
      <c r="N81">
        <v>2025</v>
      </c>
    </row>
    <row r="82" spans="1:14" x14ac:dyDescent="0.25">
      <c r="A82" t="s">
        <v>93</v>
      </c>
      <c r="B82">
        <v>8.0299999999999994</v>
      </c>
      <c r="C82" t="s">
        <v>48</v>
      </c>
      <c r="D82">
        <v>2023</v>
      </c>
      <c r="F82" t="s">
        <v>93</v>
      </c>
      <c r="G82">
        <v>12.59</v>
      </c>
      <c r="H82" t="s">
        <v>48</v>
      </c>
      <c r="I82">
        <v>2024</v>
      </c>
      <c r="K82" t="s">
        <v>93</v>
      </c>
      <c r="L82">
        <v>13.71</v>
      </c>
      <c r="M82" t="s">
        <v>48</v>
      </c>
      <c r="N82">
        <v>2025</v>
      </c>
    </row>
    <row r="83" spans="1:14" x14ac:dyDescent="0.25">
      <c r="A83" t="s">
        <v>94</v>
      </c>
      <c r="B83">
        <v>7.52</v>
      </c>
      <c r="C83" t="s">
        <v>48</v>
      </c>
      <c r="D83">
        <v>2023</v>
      </c>
      <c r="F83" t="s">
        <v>94</v>
      </c>
      <c r="G83">
        <v>9.4700000000000006</v>
      </c>
      <c r="H83" t="s">
        <v>48</v>
      </c>
      <c r="I83">
        <v>2024</v>
      </c>
      <c r="K83" t="s">
        <v>94</v>
      </c>
      <c r="L83">
        <v>9.56</v>
      </c>
      <c r="M83" t="s">
        <v>48</v>
      </c>
      <c r="N83">
        <v>2025</v>
      </c>
    </row>
    <row r="84" spans="1:14" x14ac:dyDescent="0.25">
      <c r="A84" t="s">
        <v>95</v>
      </c>
      <c r="B84">
        <v>7.33</v>
      </c>
      <c r="C84" t="s">
        <v>48</v>
      </c>
      <c r="D84">
        <v>2023</v>
      </c>
      <c r="F84" t="s">
        <v>95</v>
      </c>
      <c r="G84">
        <v>4.8899999999999997</v>
      </c>
      <c r="H84" t="s">
        <v>48</v>
      </c>
      <c r="I84">
        <v>2024</v>
      </c>
      <c r="K84" t="s">
        <v>95</v>
      </c>
      <c r="L84">
        <v>6.23</v>
      </c>
      <c r="M84" t="s">
        <v>48</v>
      </c>
      <c r="N84">
        <v>2025</v>
      </c>
    </row>
    <row r="85" spans="1:14" x14ac:dyDescent="0.25">
      <c r="A85" t="s">
        <v>96</v>
      </c>
      <c r="B85">
        <v>7.26</v>
      </c>
      <c r="C85" t="s">
        <v>48</v>
      </c>
      <c r="D85">
        <v>2023</v>
      </c>
      <c r="F85" t="s">
        <v>96</v>
      </c>
      <c r="G85">
        <v>13.94</v>
      </c>
      <c r="H85" t="s">
        <v>48</v>
      </c>
      <c r="I85">
        <v>2024</v>
      </c>
      <c r="K85" t="s">
        <v>96</v>
      </c>
      <c r="L85">
        <v>15.72</v>
      </c>
      <c r="M85" t="s">
        <v>48</v>
      </c>
      <c r="N85">
        <v>2025</v>
      </c>
    </row>
    <row r="86" spans="1:14" x14ac:dyDescent="0.25">
      <c r="A86" t="s">
        <v>97</v>
      </c>
      <c r="B86">
        <v>6.51</v>
      </c>
      <c r="C86" t="s">
        <v>48</v>
      </c>
      <c r="D86">
        <v>2023</v>
      </c>
      <c r="F86" t="s">
        <v>97</v>
      </c>
      <c r="G86">
        <v>7.58</v>
      </c>
      <c r="H86" t="s">
        <v>48</v>
      </c>
      <c r="I86">
        <v>2024</v>
      </c>
      <c r="K86" t="s">
        <v>97</v>
      </c>
      <c r="L86">
        <v>9.0299999999999994</v>
      </c>
      <c r="M86" t="s">
        <v>48</v>
      </c>
      <c r="N86">
        <v>2025</v>
      </c>
    </row>
    <row r="87" spans="1:14" x14ac:dyDescent="0.25">
      <c r="A87" t="s">
        <v>98</v>
      </c>
      <c r="B87">
        <v>6.16</v>
      </c>
      <c r="C87" t="s">
        <v>48</v>
      </c>
      <c r="D87">
        <v>2023</v>
      </c>
      <c r="F87" t="s">
        <v>98</v>
      </c>
      <c r="G87">
        <v>6.53</v>
      </c>
      <c r="H87" t="s">
        <v>48</v>
      </c>
      <c r="I87">
        <v>2024</v>
      </c>
      <c r="K87" t="s">
        <v>98</v>
      </c>
      <c r="L87">
        <v>6.1</v>
      </c>
      <c r="M87" t="s">
        <v>48</v>
      </c>
      <c r="N87">
        <v>2025</v>
      </c>
    </row>
    <row r="88" spans="1:14" x14ac:dyDescent="0.25">
      <c r="A88" t="s">
        <v>99</v>
      </c>
      <c r="B88">
        <v>5.28</v>
      </c>
      <c r="C88" t="s">
        <v>14</v>
      </c>
      <c r="D88">
        <v>2023</v>
      </c>
      <c r="F88" t="s">
        <v>99</v>
      </c>
      <c r="G88">
        <v>4.91</v>
      </c>
      <c r="H88" t="s">
        <v>14</v>
      </c>
      <c r="I88">
        <v>2024</v>
      </c>
      <c r="K88" t="s">
        <v>99</v>
      </c>
      <c r="L88">
        <v>8.1300000000000008</v>
      </c>
      <c r="M88" t="s">
        <v>14</v>
      </c>
      <c r="N88">
        <v>2025</v>
      </c>
    </row>
    <row r="89" spans="1:14" x14ac:dyDescent="0.25">
      <c r="A89" t="s">
        <v>100</v>
      </c>
      <c r="B89">
        <v>5.27</v>
      </c>
      <c r="C89" t="s">
        <v>14</v>
      </c>
      <c r="D89">
        <v>2023</v>
      </c>
      <c r="F89" t="s">
        <v>100</v>
      </c>
      <c r="G89">
        <v>6.13</v>
      </c>
      <c r="H89" t="s">
        <v>14</v>
      </c>
      <c r="I89">
        <v>2024</v>
      </c>
      <c r="K89" t="s">
        <v>100</v>
      </c>
      <c r="L89">
        <v>19.649999999999999</v>
      </c>
      <c r="M89" t="s">
        <v>14</v>
      </c>
      <c r="N89">
        <v>2025</v>
      </c>
    </row>
    <row r="90" spans="1:14" x14ac:dyDescent="0.25">
      <c r="A90" t="s">
        <v>101</v>
      </c>
      <c r="B90">
        <v>4.1399999999999997</v>
      </c>
      <c r="C90" t="s">
        <v>59</v>
      </c>
      <c r="D90">
        <v>2023</v>
      </c>
      <c r="F90" t="s">
        <v>101</v>
      </c>
      <c r="G90">
        <v>4.2300000000000004</v>
      </c>
      <c r="H90" t="s">
        <v>59</v>
      </c>
      <c r="I90">
        <v>2024</v>
      </c>
      <c r="K90" t="s">
        <v>101</v>
      </c>
      <c r="L90">
        <v>4.1399999999999997</v>
      </c>
      <c r="M90" t="s">
        <v>59</v>
      </c>
      <c r="N90">
        <v>2025</v>
      </c>
    </row>
    <row r="91" spans="1:14" x14ac:dyDescent="0.25">
      <c r="A91" t="s">
        <v>102</v>
      </c>
      <c r="B91">
        <v>3.79</v>
      </c>
      <c r="C91" t="s">
        <v>48</v>
      </c>
      <c r="D91">
        <v>2023</v>
      </c>
      <c r="F91" t="s">
        <v>102</v>
      </c>
      <c r="G91">
        <v>3.83</v>
      </c>
      <c r="H91" t="s">
        <v>48</v>
      </c>
      <c r="I91">
        <v>2024</v>
      </c>
      <c r="K91" t="s">
        <v>102</v>
      </c>
      <c r="L91">
        <v>2.36</v>
      </c>
      <c r="M91" t="s">
        <v>48</v>
      </c>
      <c r="N91">
        <v>2025</v>
      </c>
    </row>
    <row r="92" spans="1:14" x14ac:dyDescent="0.25">
      <c r="A92" t="s">
        <v>103</v>
      </c>
      <c r="B92">
        <v>3.68</v>
      </c>
      <c r="C92" t="s">
        <v>48</v>
      </c>
      <c r="D92">
        <v>2023</v>
      </c>
      <c r="F92" t="s">
        <v>103</v>
      </c>
      <c r="G92">
        <v>4.51</v>
      </c>
      <c r="H92" t="s">
        <v>48</v>
      </c>
      <c r="I92">
        <v>2024</v>
      </c>
      <c r="K92" t="s">
        <v>103</v>
      </c>
      <c r="L92">
        <v>4.38</v>
      </c>
      <c r="M92" t="s">
        <v>48</v>
      </c>
      <c r="N92">
        <v>2025</v>
      </c>
    </row>
    <row r="93" spans="1:14" x14ac:dyDescent="0.25">
      <c r="A93" t="s">
        <v>104</v>
      </c>
      <c r="B93">
        <v>3.58</v>
      </c>
      <c r="C93" t="s">
        <v>48</v>
      </c>
      <c r="D93">
        <v>2023</v>
      </c>
      <c r="F93" t="s">
        <v>104</v>
      </c>
      <c r="G93">
        <v>5.17</v>
      </c>
      <c r="H93" t="s">
        <v>48</v>
      </c>
      <c r="I93">
        <v>2024</v>
      </c>
      <c r="K93" t="s">
        <v>104</v>
      </c>
      <c r="L93">
        <v>3.96</v>
      </c>
      <c r="M93" t="s">
        <v>48</v>
      </c>
      <c r="N93">
        <v>2025</v>
      </c>
    </row>
    <row r="94" spans="1:14" x14ac:dyDescent="0.25">
      <c r="A94" t="s">
        <v>105</v>
      </c>
      <c r="B94">
        <v>3.53</v>
      </c>
      <c r="C94" t="s">
        <v>48</v>
      </c>
      <c r="D94">
        <v>2023</v>
      </c>
      <c r="F94" t="s">
        <v>105</v>
      </c>
      <c r="G94">
        <v>2.5299999999999998</v>
      </c>
      <c r="H94" t="s">
        <v>48</v>
      </c>
      <c r="I94">
        <v>2024</v>
      </c>
      <c r="K94" t="s">
        <v>105</v>
      </c>
      <c r="L94">
        <v>2.4300000000000002</v>
      </c>
      <c r="M94" t="s">
        <v>48</v>
      </c>
      <c r="N94">
        <v>2025</v>
      </c>
    </row>
    <row r="95" spans="1:14" x14ac:dyDescent="0.25">
      <c r="A95" t="s">
        <v>106</v>
      </c>
      <c r="B95">
        <v>3.1</v>
      </c>
      <c r="C95" t="s">
        <v>48</v>
      </c>
      <c r="D95">
        <v>2023</v>
      </c>
      <c r="F95" t="s">
        <v>106</v>
      </c>
      <c r="G95">
        <v>2.34</v>
      </c>
      <c r="H95" t="s">
        <v>48</v>
      </c>
      <c r="I95">
        <v>2024</v>
      </c>
      <c r="K95" t="s">
        <v>106</v>
      </c>
      <c r="L95">
        <v>2.3199999999999998</v>
      </c>
      <c r="M95" t="s">
        <v>48</v>
      </c>
      <c r="N95">
        <v>2025</v>
      </c>
    </row>
    <row r="96" spans="1:14" x14ac:dyDescent="0.25">
      <c r="A96" t="s">
        <v>107</v>
      </c>
      <c r="B96">
        <v>2.59</v>
      </c>
      <c r="C96" t="s">
        <v>48</v>
      </c>
      <c r="D96">
        <v>2023</v>
      </c>
      <c r="F96" t="s">
        <v>107</v>
      </c>
      <c r="G96">
        <v>2.9</v>
      </c>
      <c r="H96" t="s">
        <v>48</v>
      </c>
      <c r="I96">
        <v>2024</v>
      </c>
      <c r="K96" t="s">
        <v>107</v>
      </c>
      <c r="L96">
        <v>2.68</v>
      </c>
      <c r="M96" t="s">
        <v>48</v>
      </c>
      <c r="N96">
        <v>2025</v>
      </c>
    </row>
    <row r="97" spans="1:14" x14ac:dyDescent="0.25">
      <c r="A97" t="s">
        <v>108</v>
      </c>
      <c r="B97">
        <v>2.35</v>
      </c>
      <c r="C97" t="s">
        <v>4</v>
      </c>
      <c r="D97">
        <v>2023</v>
      </c>
      <c r="F97" t="s">
        <v>108</v>
      </c>
      <c r="G97">
        <v>2.77</v>
      </c>
      <c r="H97" t="s">
        <v>4</v>
      </c>
      <c r="I97">
        <v>2024</v>
      </c>
      <c r="K97" t="s">
        <v>108</v>
      </c>
      <c r="L97">
        <v>1.38</v>
      </c>
      <c r="M97" t="s">
        <v>4</v>
      </c>
      <c r="N97">
        <v>2025</v>
      </c>
    </row>
    <row r="98" spans="1:14" x14ac:dyDescent="0.25">
      <c r="A98" t="s">
        <v>109</v>
      </c>
      <c r="B98">
        <v>1.38</v>
      </c>
      <c r="C98" t="s">
        <v>48</v>
      </c>
      <c r="D98">
        <v>2023</v>
      </c>
      <c r="F98" t="s">
        <v>109</v>
      </c>
      <c r="G98">
        <v>1.49</v>
      </c>
      <c r="H98" t="s">
        <v>48</v>
      </c>
      <c r="I98">
        <v>2024</v>
      </c>
      <c r="K98" t="s">
        <v>109</v>
      </c>
      <c r="L98">
        <v>1.38</v>
      </c>
      <c r="M98" t="s">
        <v>48</v>
      </c>
      <c r="N98">
        <v>2025</v>
      </c>
    </row>
    <row r="99" spans="1:14" x14ac:dyDescent="0.25">
      <c r="A99" t="s">
        <v>110</v>
      </c>
      <c r="B99">
        <v>1.29</v>
      </c>
      <c r="C99" t="s">
        <v>4</v>
      </c>
      <c r="D99">
        <v>2023</v>
      </c>
      <c r="F99" t="s">
        <v>110</v>
      </c>
      <c r="G99">
        <v>17.79</v>
      </c>
      <c r="H99" t="s">
        <v>4</v>
      </c>
      <c r="I99">
        <v>2024</v>
      </c>
      <c r="K99" t="s">
        <v>110</v>
      </c>
      <c r="L99">
        <v>13.14</v>
      </c>
      <c r="M99" t="s">
        <v>4</v>
      </c>
      <c r="N99">
        <v>2025</v>
      </c>
    </row>
    <row r="100" spans="1:14" x14ac:dyDescent="0.25">
      <c r="A100" t="s">
        <v>111</v>
      </c>
      <c r="B100">
        <v>1.08</v>
      </c>
      <c r="C100" t="s">
        <v>14</v>
      </c>
      <c r="D100">
        <v>2023</v>
      </c>
      <c r="F100" t="s">
        <v>111</v>
      </c>
      <c r="G100">
        <v>0.05</v>
      </c>
      <c r="H100" t="s">
        <v>14</v>
      </c>
      <c r="I100">
        <v>2024</v>
      </c>
      <c r="K100" t="s">
        <v>111</v>
      </c>
      <c r="L100">
        <v>0.99</v>
      </c>
      <c r="M100" t="s">
        <v>14</v>
      </c>
      <c r="N100">
        <v>2025</v>
      </c>
    </row>
    <row r="101" spans="1:14" x14ac:dyDescent="0.25">
      <c r="A101" t="s">
        <v>112</v>
      </c>
      <c r="B101">
        <v>0.47</v>
      </c>
      <c r="C101" t="s">
        <v>14</v>
      </c>
      <c r="D101">
        <v>2023</v>
      </c>
      <c r="F101" t="s">
        <v>112</v>
      </c>
      <c r="G101">
        <v>0.69</v>
      </c>
      <c r="H101" t="s">
        <v>14</v>
      </c>
      <c r="I101">
        <v>2024</v>
      </c>
      <c r="K101" t="s">
        <v>112</v>
      </c>
      <c r="L101">
        <v>0.35</v>
      </c>
      <c r="M101" t="s">
        <v>14</v>
      </c>
      <c r="N101">
        <v>2025</v>
      </c>
    </row>
    <row r="102" spans="1:14" x14ac:dyDescent="0.25">
      <c r="A102" t="s">
        <v>113</v>
      </c>
      <c r="B102">
        <v>0.28999999999999998</v>
      </c>
      <c r="C102" t="s">
        <v>59</v>
      </c>
      <c r="D102">
        <v>2023</v>
      </c>
      <c r="F102" t="s">
        <v>113</v>
      </c>
      <c r="G102">
        <v>0.75</v>
      </c>
      <c r="H102" t="s">
        <v>59</v>
      </c>
      <c r="I102">
        <v>2024</v>
      </c>
      <c r="K102" t="s">
        <v>113</v>
      </c>
      <c r="L102">
        <v>0.06</v>
      </c>
      <c r="M102" t="s">
        <v>59</v>
      </c>
      <c r="N102">
        <v>2025</v>
      </c>
    </row>
    <row r="103" spans="1:14" x14ac:dyDescent="0.25">
      <c r="A103" t="s">
        <v>114</v>
      </c>
      <c r="B103">
        <v>0.17</v>
      </c>
      <c r="C103" t="s">
        <v>14</v>
      </c>
      <c r="D103">
        <v>2023</v>
      </c>
      <c r="F103" t="s">
        <v>114</v>
      </c>
      <c r="G103">
        <v>0.17</v>
      </c>
      <c r="H103" t="s">
        <v>14</v>
      </c>
      <c r="I103">
        <v>2024</v>
      </c>
      <c r="K103" t="s">
        <v>114</v>
      </c>
      <c r="L103">
        <v>0.17</v>
      </c>
      <c r="M103" t="s">
        <v>14</v>
      </c>
      <c r="N103">
        <v>2025</v>
      </c>
    </row>
    <row r="104" spans="1:14" x14ac:dyDescent="0.25">
      <c r="A104" t="s">
        <v>115</v>
      </c>
      <c r="B104">
        <v>0.1</v>
      </c>
      <c r="C104" t="s">
        <v>48</v>
      </c>
      <c r="D104">
        <v>2023</v>
      </c>
      <c r="F104" t="s">
        <v>115</v>
      </c>
      <c r="G104">
        <v>0.1</v>
      </c>
      <c r="H104" t="s">
        <v>48</v>
      </c>
      <c r="I104">
        <v>2024</v>
      </c>
      <c r="K104" t="s">
        <v>115</v>
      </c>
      <c r="L104">
        <v>0.65</v>
      </c>
      <c r="M104" t="s">
        <v>48</v>
      </c>
      <c r="N104">
        <v>2025</v>
      </c>
    </row>
    <row r="105" spans="1:14" x14ac:dyDescent="0.25">
      <c r="A105" t="s">
        <v>116</v>
      </c>
      <c r="B105">
        <v>0.02</v>
      </c>
      <c r="C105" t="s">
        <v>48</v>
      </c>
      <c r="D105">
        <v>2023</v>
      </c>
      <c r="F105" t="s">
        <v>116</v>
      </c>
      <c r="G105">
        <v>0.02</v>
      </c>
      <c r="H105" t="s">
        <v>48</v>
      </c>
      <c r="I105">
        <v>2024</v>
      </c>
      <c r="K105" t="s">
        <v>116</v>
      </c>
      <c r="L105">
        <v>0.02</v>
      </c>
      <c r="M105" t="s">
        <v>48</v>
      </c>
      <c r="N105">
        <v>2025</v>
      </c>
    </row>
    <row r="106" spans="1:14" x14ac:dyDescent="0.25">
      <c r="A106" t="s">
        <v>118</v>
      </c>
      <c r="B106">
        <v>42.92</v>
      </c>
      <c r="C106" t="s">
        <v>59</v>
      </c>
      <c r="D106">
        <v>2023</v>
      </c>
      <c r="F106" t="s">
        <v>118</v>
      </c>
      <c r="G106">
        <v>42.92</v>
      </c>
      <c r="H106" t="s">
        <v>59</v>
      </c>
      <c r="I106">
        <v>2024</v>
      </c>
      <c r="K106" t="s">
        <v>118</v>
      </c>
      <c r="L106">
        <v>1.93</v>
      </c>
      <c r="M106" t="s">
        <v>59</v>
      </c>
      <c r="N106">
        <v>2025</v>
      </c>
    </row>
    <row r="107" spans="1:14" x14ac:dyDescent="0.25">
      <c r="A107" t="s">
        <v>119</v>
      </c>
      <c r="B107">
        <v>36.56</v>
      </c>
      <c r="C107" t="s">
        <v>29</v>
      </c>
      <c r="D107">
        <v>2023</v>
      </c>
      <c r="F107" t="s">
        <v>119</v>
      </c>
      <c r="G107">
        <v>36.56</v>
      </c>
      <c r="H107" t="s">
        <v>29</v>
      </c>
      <c r="I107">
        <v>2024</v>
      </c>
      <c r="K107" t="s">
        <v>119</v>
      </c>
      <c r="L107">
        <v>80.16</v>
      </c>
      <c r="M107" t="s">
        <v>29</v>
      </c>
      <c r="N107">
        <v>2025</v>
      </c>
    </row>
    <row r="108" spans="1:14" x14ac:dyDescent="0.25">
      <c r="A108" t="s">
        <v>120</v>
      </c>
      <c r="B108">
        <v>26.71</v>
      </c>
      <c r="C108" t="s">
        <v>59</v>
      </c>
      <c r="D108">
        <v>2023</v>
      </c>
      <c r="F108" t="s">
        <v>120</v>
      </c>
      <c r="G108">
        <v>26.71</v>
      </c>
      <c r="H108" t="s">
        <v>59</v>
      </c>
      <c r="I108">
        <v>2024</v>
      </c>
      <c r="K108" t="s">
        <v>120</v>
      </c>
      <c r="L108">
        <v>13.45</v>
      </c>
      <c r="M108" t="s">
        <v>59</v>
      </c>
      <c r="N108">
        <v>2025</v>
      </c>
    </row>
    <row r="109" spans="1:14" x14ac:dyDescent="0.25">
      <c r="A109" t="s">
        <v>121</v>
      </c>
      <c r="B109">
        <v>18.12</v>
      </c>
      <c r="C109" t="s">
        <v>59</v>
      </c>
      <c r="D109">
        <v>2023</v>
      </c>
      <c r="F109" t="s">
        <v>121</v>
      </c>
      <c r="G109">
        <v>18.12</v>
      </c>
      <c r="H109" t="s">
        <v>59</v>
      </c>
      <c r="I109">
        <v>2024</v>
      </c>
      <c r="K109" t="s">
        <v>121</v>
      </c>
      <c r="L109">
        <v>19.11</v>
      </c>
      <c r="M109" t="s">
        <v>59</v>
      </c>
      <c r="N109">
        <v>2025</v>
      </c>
    </row>
    <row r="110" spans="1:14" x14ac:dyDescent="0.25">
      <c r="A110" t="s">
        <v>122</v>
      </c>
      <c r="B110">
        <v>13.96</v>
      </c>
      <c r="C110" t="s">
        <v>4</v>
      </c>
      <c r="D110">
        <v>2023</v>
      </c>
      <c r="F110" t="s">
        <v>122</v>
      </c>
      <c r="G110">
        <v>13.96</v>
      </c>
      <c r="H110" t="s">
        <v>4</v>
      </c>
      <c r="I110">
        <v>2024</v>
      </c>
      <c r="K110" t="s">
        <v>122</v>
      </c>
      <c r="L110">
        <v>10.55</v>
      </c>
      <c r="M110" t="s">
        <v>4</v>
      </c>
      <c r="N110">
        <v>2025</v>
      </c>
    </row>
    <row r="111" spans="1:14" x14ac:dyDescent="0.25">
      <c r="A111" t="s">
        <v>123</v>
      </c>
      <c r="B111">
        <v>4.92</v>
      </c>
      <c r="C111" t="s">
        <v>29</v>
      </c>
      <c r="D111">
        <v>2023</v>
      </c>
      <c r="F111" t="s">
        <v>123</v>
      </c>
      <c r="G111">
        <v>4.92</v>
      </c>
      <c r="H111" t="s">
        <v>29</v>
      </c>
      <c r="I111">
        <v>2024</v>
      </c>
      <c r="K111" t="s">
        <v>123</v>
      </c>
      <c r="L111">
        <v>6.98</v>
      </c>
      <c r="M111" t="s">
        <v>29</v>
      </c>
      <c r="N111">
        <v>2025</v>
      </c>
    </row>
    <row r="112" spans="1:14" x14ac:dyDescent="0.25">
      <c r="A112" t="s">
        <v>124</v>
      </c>
      <c r="B112">
        <v>1.29</v>
      </c>
      <c r="C112" t="s">
        <v>59</v>
      </c>
      <c r="D112">
        <v>2023</v>
      </c>
      <c r="F112" t="s">
        <v>124</v>
      </c>
      <c r="G112">
        <v>1.29</v>
      </c>
      <c r="H112" t="s">
        <v>59</v>
      </c>
      <c r="I112">
        <v>2024</v>
      </c>
      <c r="K112" t="s">
        <v>124</v>
      </c>
      <c r="L112">
        <v>52.75</v>
      </c>
      <c r="M112" t="s">
        <v>59</v>
      </c>
      <c r="N112">
        <v>2025</v>
      </c>
    </row>
    <row r="113" spans="11:14" x14ac:dyDescent="0.25">
      <c r="K113" t="s">
        <v>125</v>
      </c>
      <c r="L113">
        <v>215.83</v>
      </c>
      <c r="M113" t="s">
        <v>32</v>
      </c>
      <c r="N113">
        <v>2025</v>
      </c>
    </row>
    <row r="114" spans="11:14" x14ac:dyDescent="0.25">
      <c r="K114" t="s">
        <v>126</v>
      </c>
      <c r="L114">
        <v>18.170000000000002</v>
      </c>
      <c r="M114" t="s">
        <v>59</v>
      </c>
      <c r="N114">
        <v>2025</v>
      </c>
    </row>
    <row r="115" spans="11:14" x14ac:dyDescent="0.25">
      <c r="K115" t="s">
        <v>127</v>
      </c>
      <c r="L115">
        <v>15.93</v>
      </c>
      <c r="M115" t="s">
        <v>32</v>
      </c>
      <c r="N115">
        <v>2025</v>
      </c>
    </row>
    <row r="116" spans="11:14" x14ac:dyDescent="0.25">
      <c r="K116" t="s">
        <v>128</v>
      </c>
      <c r="L116">
        <v>17.25</v>
      </c>
      <c r="M116" t="s">
        <v>32</v>
      </c>
      <c r="N116">
        <v>2025</v>
      </c>
    </row>
    <row r="117" spans="11:14" x14ac:dyDescent="0.25">
      <c r="K117" t="s">
        <v>129</v>
      </c>
      <c r="L117">
        <v>13.38</v>
      </c>
      <c r="M117" t="s">
        <v>32</v>
      </c>
      <c r="N117">
        <v>2025</v>
      </c>
    </row>
    <row r="118" spans="11:14" x14ac:dyDescent="0.25">
      <c r="K118" t="s">
        <v>130</v>
      </c>
      <c r="L118">
        <v>11.18</v>
      </c>
      <c r="M118" t="s">
        <v>59</v>
      </c>
      <c r="N118">
        <v>2025</v>
      </c>
    </row>
    <row r="119" spans="11:14" x14ac:dyDescent="0.25">
      <c r="K119" t="s">
        <v>131</v>
      </c>
      <c r="L119">
        <v>10.78</v>
      </c>
      <c r="M119" t="s">
        <v>59</v>
      </c>
      <c r="N119">
        <v>2025</v>
      </c>
    </row>
    <row r="120" spans="11:14" x14ac:dyDescent="0.25">
      <c r="K120" t="s">
        <v>132</v>
      </c>
      <c r="L120">
        <v>9.68</v>
      </c>
      <c r="M120" t="s">
        <v>32</v>
      </c>
      <c r="N120">
        <v>2025</v>
      </c>
    </row>
    <row r="121" spans="11:14" x14ac:dyDescent="0.25">
      <c r="K121" t="s">
        <v>133</v>
      </c>
      <c r="L121">
        <v>8.75</v>
      </c>
      <c r="M121" t="s">
        <v>59</v>
      </c>
      <c r="N121">
        <v>2025</v>
      </c>
    </row>
    <row r="122" spans="11:14" x14ac:dyDescent="0.25">
      <c r="K122" t="s">
        <v>134</v>
      </c>
      <c r="L122">
        <v>6.33</v>
      </c>
      <c r="M122" t="s">
        <v>59</v>
      </c>
      <c r="N122">
        <v>2025</v>
      </c>
    </row>
    <row r="123" spans="11:14" x14ac:dyDescent="0.25">
      <c r="K123" t="s">
        <v>135</v>
      </c>
      <c r="L123">
        <v>4.28</v>
      </c>
      <c r="M123" t="s">
        <v>4</v>
      </c>
      <c r="N123">
        <v>2025</v>
      </c>
    </row>
    <row r="124" spans="11:14" x14ac:dyDescent="0.25">
      <c r="K124" t="s">
        <v>136</v>
      </c>
      <c r="L124">
        <v>1.96</v>
      </c>
      <c r="M124" t="s">
        <v>32</v>
      </c>
      <c r="N124">
        <v>2025</v>
      </c>
    </row>
    <row r="125" spans="11:14" x14ac:dyDescent="0.25">
      <c r="K125" t="s">
        <v>148</v>
      </c>
      <c r="L125">
        <v>0.53</v>
      </c>
      <c r="M125" t="s">
        <v>29</v>
      </c>
      <c r="N125">
        <v>2025</v>
      </c>
    </row>
    <row r="126" spans="11:14" x14ac:dyDescent="0.25">
      <c r="K126" t="s">
        <v>149</v>
      </c>
      <c r="L126">
        <v>0.99</v>
      </c>
      <c r="M126" t="s">
        <v>32</v>
      </c>
      <c r="N12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5432-E31D-4388-9B77-B91590A2BA1A}">
  <dimension ref="A3:O17"/>
  <sheetViews>
    <sheetView topLeftCell="F1" workbookViewId="0">
      <selection activeCell="G7" sqref="G7"/>
    </sheetView>
  </sheetViews>
  <sheetFormatPr defaultRowHeight="15" x14ac:dyDescent="0.25"/>
  <cols>
    <col min="1" max="1" width="26.85546875" bestFit="1" customWidth="1"/>
    <col min="2" max="2" width="14" bestFit="1" customWidth="1"/>
    <col min="3" max="4" width="9.140625" bestFit="1" customWidth="1"/>
    <col min="5" max="5" width="11.28515625" bestFit="1" customWidth="1"/>
    <col min="7" max="7" width="15.42578125" bestFit="1" customWidth="1"/>
    <col min="8" max="8" width="18.5703125" hidden="1" customWidth="1"/>
    <col min="9" max="10" width="9.140625" hidden="1" customWidth="1"/>
    <col min="11" max="11" width="7.5703125" hidden="1" customWidth="1"/>
    <col min="12" max="12" width="9.140625" bestFit="1" customWidth="1"/>
    <col min="13" max="13" width="7.5703125" bestFit="1" customWidth="1"/>
    <col min="14" max="14" width="9.7109375" bestFit="1" customWidth="1"/>
    <col min="15" max="15" width="12.42578125" bestFit="1" customWidth="1"/>
  </cols>
  <sheetData>
    <row r="3" spans="1:15" x14ac:dyDescent="0.25">
      <c r="A3" s="2" t="s">
        <v>140</v>
      </c>
      <c r="B3" s="2" t="s">
        <v>139</v>
      </c>
      <c r="G3" s="6"/>
      <c r="H3" s="7" t="s">
        <v>139</v>
      </c>
      <c r="I3" s="6"/>
      <c r="J3" s="6"/>
      <c r="K3" s="6"/>
      <c r="L3" s="6"/>
      <c r="M3" s="6"/>
      <c r="N3" s="6"/>
      <c r="O3" s="6"/>
    </row>
    <row r="4" spans="1:15" x14ac:dyDescent="0.25">
      <c r="A4" s="2" t="s">
        <v>137</v>
      </c>
      <c r="B4" s="4">
        <v>2023</v>
      </c>
      <c r="C4" s="4">
        <v>2024</v>
      </c>
      <c r="D4" s="4">
        <v>2025</v>
      </c>
      <c r="E4" s="4" t="s">
        <v>138</v>
      </c>
      <c r="G4" s="6"/>
      <c r="H4" s="9">
        <v>2023</v>
      </c>
      <c r="I4" s="8"/>
      <c r="J4" s="9">
        <v>2024</v>
      </c>
      <c r="K4" s="8"/>
      <c r="L4" s="9">
        <v>2025</v>
      </c>
      <c r="M4" s="8"/>
      <c r="N4" s="9" t="s">
        <v>144</v>
      </c>
      <c r="O4" s="9" t="s">
        <v>146</v>
      </c>
    </row>
    <row r="5" spans="1:15" x14ac:dyDescent="0.25">
      <c r="A5" s="3" t="s">
        <v>141</v>
      </c>
      <c r="B5" s="1">
        <v>5226.0200000000004</v>
      </c>
      <c r="C5" s="1">
        <v>5711.21</v>
      </c>
      <c r="D5" s="1">
        <v>5580.47</v>
      </c>
      <c r="E5" s="1">
        <v>16517.7</v>
      </c>
      <c r="G5" s="7" t="s">
        <v>137</v>
      </c>
      <c r="H5" s="10" t="s">
        <v>145</v>
      </c>
      <c r="I5" s="10" t="s">
        <v>147</v>
      </c>
      <c r="J5" s="10" t="s">
        <v>145</v>
      </c>
      <c r="K5" s="10" t="s">
        <v>147</v>
      </c>
      <c r="L5" s="10" t="s">
        <v>145</v>
      </c>
      <c r="M5" s="10" t="s">
        <v>147</v>
      </c>
      <c r="N5" s="8"/>
      <c r="O5" s="8"/>
    </row>
    <row r="6" spans="1:15" x14ac:dyDescent="0.25">
      <c r="A6" s="5" t="s">
        <v>7</v>
      </c>
      <c r="B6" s="1">
        <v>2471.1799999999998</v>
      </c>
      <c r="C6" s="1">
        <v>2941.04</v>
      </c>
      <c r="D6" s="1">
        <v>2764.96</v>
      </c>
      <c r="E6" s="1">
        <v>8177.1799999999994</v>
      </c>
      <c r="G6" s="3" t="s">
        <v>141</v>
      </c>
      <c r="H6" s="1">
        <v>5226.0200000000013</v>
      </c>
      <c r="I6" s="1">
        <v>5226.0200000000013</v>
      </c>
      <c r="J6" s="1">
        <v>5711.21</v>
      </c>
      <c r="K6" s="1">
        <v>485.19000000000005</v>
      </c>
      <c r="L6" s="1">
        <v>5581</v>
      </c>
      <c r="M6" s="1">
        <v>-130.20999999999992</v>
      </c>
      <c r="N6" s="1">
        <v>16518.230000000003</v>
      </c>
      <c r="O6" s="1">
        <v>5581.0000000000009</v>
      </c>
    </row>
    <row r="7" spans="1:15" x14ac:dyDescent="0.25">
      <c r="A7" s="5" t="s">
        <v>29</v>
      </c>
      <c r="B7" s="1">
        <v>1028.7800000000002</v>
      </c>
      <c r="C7" s="1">
        <v>1001.88</v>
      </c>
      <c r="D7" s="1">
        <v>997.42</v>
      </c>
      <c r="E7" s="1">
        <v>3028.0800000000004</v>
      </c>
      <c r="G7" s="3" t="s">
        <v>142</v>
      </c>
      <c r="H7" s="1">
        <v>5527.6900000000005</v>
      </c>
      <c r="I7" s="1">
        <v>5527.6900000000005</v>
      </c>
      <c r="J7" s="1">
        <v>5384.4099999999989</v>
      </c>
      <c r="K7" s="1">
        <v>-143.2799999999998</v>
      </c>
      <c r="L7" s="1">
        <v>4832.5300000000025</v>
      </c>
      <c r="M7" s="1">
        <v>-551.88</v>
      </c>
      <c r="N7" s="1">
        <v>15744.630000000001</v>
      </c>
      <c r="O7" s="1">
        <v>4832.5300000000007</v>
      </c>
    </row>
    <row r="8" spans="1:15" x14ac:dyDescent="0.25">
      <c r="A8" s="5" t="s">
        <v>48</v>
      </c>
      <c r="B8" s="1">
        <v>704.21</v>
      </c>
      <c r="C8" s="1">
        <v>862.75000000000023</v>
      </c>
      <c r="D8" s="1">
        <v>872.33</v>
      </c>
      <c r="E8" s="1">
        <v>2439.2900000000004</v>
      </c>
      <c r="G8" s="3" t="s">
        <v>138</v>
      </c>
      <c r="H8" s="1">
        <v>10753.710000000003</v>
      </c>
      <c r="I8" s="1">
        <v>10753.710000000003</v>
      </c>
      <c r="J8" s="1">
        <v>11095.619999999999</v>
      </c>
      <c r="K8" s="1">
        <v>341.91000000000025</v>
      </c>
      <c r="L8" s="1">
        <v>10413.530000000002</v>
      </c>
      <c r="M8" s="1">
        <v>-682.08999999999992</v>
      </c>
      <c r="N8" s="1">
        <v>32262.860000000004</v>
      </c>
      <c r="O8" s="1">
        <v>10413.530000000002</v>
      </c>
    </row>
    <row r="9" spans="1:15" x14ac:dyDescent="0.25">
      <c r="A9" s="5" t="s">
        <v>10</v>
      </c>
      <c r="B9" s="1">
        <v>767.33</v>
      </c>
      <c r="C9" s="1">
        <v>664.06</v>
      </c>
      <c r="D9" s="1">
        <v>739.7</v>
      </c>
      <c r="E9" s="1">
        <v>2171.09</v>
      </c>
    </row>
    <row r="10" spans="1:15" x14ac:dyDescent="0.25">
      <c r="A10" s="5" t="s">
        <v>16</v>
      </c>
      <c r="B10" s="1">
        <v>254.52</v>
      </c>
      <c r="C10" s="1">
        <v>241.48</v>
      </c>
      <c r="D10" s="1">
        <v>206.06</v>
      </c>
      <c r="E10" s="1">
        <v>702.06</v>
      </c>
    </row>
    <row r="11" spans="1:15" x14ac:dyDescent="0.25">
      <c r="A11" s="3" t="s">
        <v>142</v>
      </c>
      <c r="B11" s="1">
        <v>5527.6900000000005</v>
      </c>
      <c r="C11" s="1">
        <v>5384.41</v>
      </c>
      <c r="D11" s="1">
        <v>4831.5400000000018</v>
      </c>
      <c r="E11" s="1">
        <v>15743.640000000001</v>
      </c>
    </row>
    <row r="12" spans="1:15" x14ac:dyDescent="0.25">
      <c r="A12" s="5" t="s">
        <v>4</v>
      </c>
      <c r="B12" s="1">
        <v>4390.3</v>
      </c>
      <c r="C12" s="1">
        <v>4445.97</v>
      </c>
      <c r="D12" s="1">
        <v>3460.8400000000015</v>
      </c>
      <c r="E12" s="1">
        <v>12297.110000000002</v>
      </c>
    </row>
    <row r="13" spans="1:15" x14ac:dyDescent="0.25">
      <c r="A13" s="5" t="s">
        <v>14</v>
      </c>
      <c r="B13" s="1">
        <v>523.61</v>
      </c>
      <c r="C13" s="1">
        <v>280.70000000000005</v>
      </c>
      <c r="D13" s="1">
        <v>467.76000000000005</v>
      </c>
      <c r="E13" s="1">
        <v>1272.0700000000002</v>
      </c>
    </row>
    <row r="14" spans="1:15" x14ac:dyDescent="0.25">
      <c r="A14" s="5" t="s">
        <v>12</v>
      </c>
      <c r="B14" s="1">
        <v>329.63</v>
      </c>
      <c r="C14" s="1">
        <v>358.11</v>
      </c>
      <c r="D14" s="1">
        <v>294.04000000000002</v>
      </c>
      <c r="E14" s="1">
        <v>981.78</v>
      </c>
    </row>
    <row r="15" spans="1:15" x14ac:dyDescent="0.25">
      <c r="A15" s="5" t="s">
        <v>32</v>
      </c>
      <c r="B15" s="1">
        <v>148.63999999999999</v>
      </c>
      <c r="C15" s="1">
        <v>151.92000000000002</v>
      </c>
      <c r="D15" s="1">
        <v>445.57</v>
      </c>
      <c r="E15" s="1">
        <v>746.13</v>
      </c>
    </row>
    <row r="16" spans="1:15" x14ac:dyDescent="0.25">
      <c r="A16" s="5" t="s">
        <v>59</v>
      </c>
      <c r="B16" s="1">
        <v>135.51</v>
      </c>
      <c r="C16" s="1">
        <v>147.71</v>
      </c>
      <c r="D16" s="1">
        <v>163.33000000000001</v>
      </c>
      <c r="E16" s="1">
        <v>446.55000000000007</v>
      </c>
    </row>
    <row r="17" spans="1:5" x14ac:dyDescent="0.25">
      <c r="A17" s="3" t="s">
        <v>138</v>
      </c>
      <c r="B17" s="1">
        <v>10753.710000000001</v>
      </c>
      <c r="C17" s="1">
        <v>11095.619999999997</v>
      </c>
      <c r="D17" s="1">
        <v>10412.010000000002</v>
      </c>
      <c r="E17" s="1">
        <v>32261.340000000007</v>
      </c>
    </row>
  </sheetData>
  <mergeCells count="5">
    <mergeCell ref="H4:I4"/>
    <mergeCell ref="J4:K4"/>
    <mergeCell ref="L4:M4"/>
    <mergeCell ref="N4:N5"/>
    <mergeCell ref="O4:O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5645-C7C8-4A34-BFD0-86A693E7154F}">
  <dimension ref="A1:E348"/>
  <sheetViews>
    <sheetView tabSelected="1" workbookViewId="0">
      <selection activeCell="C19" sqref="C19"/>
    </sheetView>
  </sheetViews>
  <sheetFormatPr defaultRowHeight="15" x14ac:dyDescent="0.25"/>
  <cols>
    <col min="1" max="1" width="30.85546875" bestFit="1" customWidth="1"/>
    <col min="2" max="2" width="17.5703125" bestFit="1" customWidth="1"/>
    <col min="3" max="3" width="23.140625" bestFit="1" customWidth="1"/>
    <col min="4" max="4" width="9.85546875" bestFit="1" customWidth="1"/>
    <col min="5" max="5" width="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143</v>
      </c>
      <c r="E1" t="s">
        <v>117</v>
      </c>
    </row>
    <row r="2" spans="1:5" x14ac:dyDescent="0.25">
      <c r="A2" t="s">
        <v>3</v>
      </c>
      <c r="B2" s="1">
        <v>1676.84</v>
      </c>
      <c r="C2" t="s">
        <v>4</v>
      </c>
      <c r="D2" s="1">
        <f>B2-SUMIFS(B:B,E:E,E2-1,A:A,A2)</f>
        <v>1676.84</v>
      </c>
      <c r="E2">
        <v>2023</v>
      </c>
    </row>
    <row r="3" spans="1:5" x14ac:dyDescent="0.25">
      <c r="A3" t="s">
        <v>5</v>
      </c>
      <c r="B3" s="1">
        <v>1554.79</v>
      </c>
      <c r="C3" t="s">
        <v>4</v>
      </c>
      <c r="D3" s="1">
        <f t="shared" ref="D3:D66" si="0">B3-SUMIFS(B:B,E:E,E3-1,A:A,A3)</f>
        <v>1554.79</v>
      </c>
      <c r="E3">
        <v>2023</v>
      </c>
    </row>
    <row r="4" spans="1:5" x14ac:dyDescent="0.25">
      <c r="A4" t="s">
        <v>6</v>
      </c>
      <c r="B4" s="1">
        <v>1244.58</v>
      </c>
      <c r="C4" t="s">
        <v>7</v>
      </c>
      <c r="D4" s="1">
        <f t="shared" si="0"/>
        <v>1244.58</v>
      </c>
      <c r="E4">
        <v>2023</v>
      </c>
    </row>
    <row r="5" spans="1:5" x14ac:dyDescent="0.25">
      <c r="A5" t="s">
        <v>8</v>
      </c>
      <c r="B5">
        <v>425.48</v>
      </c>
      <c r="C5" t="s">
        <v>7</v>
      </c>
      <c r="D5" s="1">
        <f t="shared" si="0"/>
        <v>425.48</v>
      </c>
      <c r="E5">
        <v>2023</v>
      </c>
    </row>
    <row r="6" spans="1:5" x14ac:dyDescent="0.25">
      <c r="A6" t="s">
        <v>9</v>
      </c>
      <c r="B6">
        <v>377.36</v>
      </c>
      <c r="C6" t="s">
        <v>10</v>
      </c>
      <c r="D6" s="1">
        <f t="shared" si="0"/>
        <v>377.36</v>
      </c>
      <c r="E6">
        <v>2023</v>
      </c>
    </row>
    <row r="7" spans="1:5" x14ac:dyDescent="0.25">
      <c r="A7" t="s">
        <v>11</v>
      </c>
      <c r="B7">
        <v>329.63</v>
      </c>
      <c r="C7" t="s">
        <v>12</v>
      </c>
      <c r="D7" s="1">
        <f t="shared" si="0"/>
        <v>329.63</v>
      </c>
      <c r="E7">
        <v>2023</v>
      </c>
    </row>
    <row r="8" spans="1:5" x14ac:dyDescent="0.25">
      <c r="A8" t="s">
        <v>13</v>
      </c>
      <c r="B8">
        <v>260.43</v>
      </c>
      <c r="C8" t="s">
        <v>14</v>
      </c>
      <c r="D8" s="1">
        <f t="shared" si="0"/>
        <v>260.43</v>
      </c>
      <c r="E8">
        <v>2023</v>
      </c>
    </row>
    <row r="9" spans="1:5" x14ac:dyDescent="0.25">
      <c r="A9" t="s">
        <v>15</v>
      </c>
      <c r="B9">
        <v>254.52</v>
      </c>
      <c r="C9" t="s">
        <v>16</v>
      </c>
      <c r="D9" s="1">
        <f t="shared" si="0"/>
        <v>254.52</v>
      </c>
      <c r="E9">
        <v>2023</v>
      </c>
    </row>
    <row r="10" spans="1:5" x14ac:dyDescent="0.25">
      <c r="A10" t="s">
        <v>17</v>
      </c>
      <c r="B10">
        <v>248.71</v>
      </c>
      <c r="C10" t="s">
        <v>7</v>
      </c>
      <c r="D10" s="1">
        <f t="shared" si="0"/>
        <v>248.71</v>
      </c>
      <c r="E10">
        <v>2023</v>
      </c>
    </row>
    <row r="11" spans="1:5" x14ac:dyDescent="0.25">
      <c r="A11" t="s">
        <v>18</v>
      </c>
      <c r="B11">
        <v>202.46</v>
      </c>
      <c r="C11" t="s">
        <v>10</v>
      </c>
      <c r="D11" s="1">
        <f t="shared" si="0"/>
        <v>202.46</v>
      </c>
      <c r="E11">
        <v>2023</v>
      </c>
    </row>
    <row r="12" spans="1:5" x14ac:dyDescent="0.25">
      <c r="A12" t="s">
        <v>19</v>
      </c>
      <c r="B12">
        <v>199.49</v>
      </c>
      <c r="C12" t="s">
        <v>4</v>
      </c>
      <c r="D12" s="1">
        <f t="shared" si="0"/>
        <v>199.49</v>
      </c>
      <c r="E12">
        <v>2023</v>
      </c>
    </row>
    <row r="13" spans="1:5" x14ac:dyDescent="0.25">
      <c r="A13" t="s">
        <v>20</v>
      </c>
      <c r="B13">
        <v>187.51</v>
      </c>
      <c r="C13" t="s">
        <v>10</v>
      </c>
      <c r="D13" s="1">
        <f t="shared" si="0"/>
        <v>187.51</v>
      </c>
      <c r="E13">
        <v>2023</v>
      </c>
    </row>
    <row r="14" spans="1:5" x14ac:dyDescent="0.25">
      <c r="A14" t="s">
        <v>21</v>
      </c>
      <c r="B14">
        <v>185.42</v>
      </c>
      <c r="C14" t="s">
        <v>7</v>
      </c>
      <c r="D14" s="1">
        <f t="shared" si="0"/>
        <v>185.42</v>
      </c>
      <c r="E14">
        <v>2023</v>
      </c>
    </row>
    <row r="15" spans="1:5" x14ac:dyDescent="0.25">
      <c r="A15" t="s">
        <v>22</v>
      </c>
      <c r="B15">
        <v>176.84</v>
      </c>
      <c r="C15" t="s">
        <v>4</v>
      </c>
      <c r="D15" s="1">
        <f t="shared" si="0"/>
        <v>176.84</v>
      </c>
      <c r="E15">
        <v>2023</v>
      </c>
    </row>
    <row r="16" spans="1:5" x14ac:dyDescent="0.25">
      <c r="A16" t="s">
        <v>23</v>
      </c>
      <c r="B16">
        <v>168.03</v>
      </c>
      <c r="C16" t="s">
        <v>4</v>
      </c>
      <c r="D16" s="1">
        <f t="shared" si="0"/>
        <v>168.03</v>
      </c>
      <c r="E16">
        <v>2023</v>
      </c>
    </row>
    <row r="17" spans="1:5" x14ac:dyDescent="0.25">
      <c r="A17" t="s">
        <v>24</v>
      </c>
      <c r="B17">
        <v>167.55</v>
      </c>
      <c r="C17" t="s">
        <v>7</v>
      </c>
      <c r="D17" s="1">
        <f t="shared" si="0"/>
        <v>167.55</v>
      </c>
      <c r="E17">
        <v>2023</v>
      </c>
    </row>
    <row r="18" spans="1:5" x14ac:dyDescent="0.25">
      <c r="A18" t="s">
        <v>25</v>
      </c>
      <c r="B18">
        <v>147.41</v>
      </c>
      <c r="C18" t="s">
        <v>4</v>
      </c>
      <c r="D18" s="1">
        <f t="shared" si="0"/>
        <v>147.41</v>
      </c>
      <c r="E18">
        <v>2023</v>
      </c>
    </row>
    <row r="19" spans="1:5" x14ac:dyDescent="0.25">
      <c r="A19" t="s">
        <v>26</v>
      </c>
      <c r="B19">
        <v>139.13999999999999</v>
      </c>
      <c r="C19" t="s">
        <v>4</v>
      </c>
      <c r="D19" s="1">
        <f t="shared" si="0"/>
        <v>139.13999999999999</v>
      </c>
      <c r="E19">
        <v>2023</v>
      </c>
    </row>
    <row r="20" spans="1:5" x14ac:dyDescent="0.25">
      <c r="A20" t="s">
        <v>27</v>
      </c>
      <c r="B20">
        <v>116.24</v>
      </c>
      <c r="C20" t="s">
        <v>7</v>
      </c>
      <c r="D20" s="1">
        <f t="shared" si="0"/>
        <v>116.24</v>
      </c>
      <c r="E20">
        <v>2023</v>
      </c>
    </row>
    <row r="21" spans="1:5" x14ac:dyDescent="0.25">
      <c r="A21" t="s">
        <v>28</v>
      </c>
      <c r="B21">
        <v>108.42</v>
      </c>
      <c r="C21" t="s">
        <v>29</v>
      </c>
      <c r="D21" s="1">
        <f t="shared" si="0"/>
        <v>108.42</v>
      </c>
      <c r="E21">
        <v>2023</v>
      </c>
    </row>
    <row r="22" spans="1:5" x14ac:dyDescent="0.25">
      <c r="A22" t="s">
        <v>30</v>
      </c>
      <c r="B22">
        <v>107.08</v>
      </c>
      <c r="C22" t="s">
        <v>29</v>
      </c>
      <c r="D22" s="1">
        <f t="shared" si="0"/>
        <v>107.08</v>
      </c>
      <c r="E22">
        <v>2023</v>
      </c>
    </row>
    <row r="23" spans="1:5" x14ac:dyDescent="0.25">
      <c r="A23" t="s">
        <v>31</v>
      </c>
      <c r="B23">
        <v>106.45</v>
      </c>
      <c r="C23" t="s">
        <v>32</v>
      </c>
      <c r="D23" s="1">
        <f t="shared" si="0"/>
        <v>106.45</v>
      </c>
      <c r="E23">
        <v>2023</v>
      </c>
    </row>
    <row r="24" spans="1:5" x14ac:dyDescent="0.25">
      <c r="A24" t="s">
        <v>33</v>
      </c>
      <c r="B24">
        <v>100.1</v>
      </c>
      <c r="C24" t="s">
        <v>4</v>
      </c>
      <c r="D24" s="1">
        <f t="shared" si="0"/>
        <v>100.1</v>
      </c>
      <c r="E24">
        <v>2023</v>
      </c>
    </row>
    <row r="25" spans="1:5" x14ac:dyDescent="0.25">
      <c r="A25" t="s">
        <v>34</v>
      </c>
      <c r="B25">
        <v>100.52</v>
      </c>
      <c r="C25" t="s">
        <v>14</v>
      </c>
      <c r="D25" s="1">
        <f t="shared" si="0"/>
        <v>100.52</v>
      </c>
      <c r="E25">
        <v>2023</v>
      </c>
    </row>
    <row r="26" spans="1:5" x14ac:dyDescent="0.25">
      <c r="A26" t="s">
        <v>35</v>
      </c>
      <c r="B26">
        <v>96.18</v>
      </c>
      <c r="C26" t="s">
        <v>29</v>
      </c>
      <c r="D26" s="1">
        <f t="shared" si="0"/>
        <v>96.18</v>
      </c>
      <c r="E26">
        <v>2023</v>
      </c>
    </row>
    <row r="27" spans="1:5" x14ac:dyDescent="0.25">
      <c r="A27" t="s">
        <v>36</v>
      </c>
      <c r="B27">
        <v>92.7</v>
      </c>
      <c r="C27" t="s">
        <v>29</v>
      </c>
      <c r="D27" s="1">
        <f t="shared" si="0"/>
        <v>92.7</v>
      </c>
      <c r="E27">
        <v>2023</v>
      </c>
    </row>
    <row r="28" spans="1:5" x14ac:dyDescent="0.25">
      <c r="A28" t="s">
        <v>37</v>
      </c>
      <c r="B28">
        <v>87.38</v>
      </c>
      <c r="C28" t="s">
        <v>29</v>
      </c>
      <c r="D28" s="1">
        <f t="shared" si="0"/>
        <v>87.38</v>
      </c>
      <c r="E28">
        <v>2023</v>
      </c>
    </row>
    <row r="29" spans="1:5" x14ac:dyDescent="0.25">
      <c r="A29" t="s">
        <v>38</v>
      </c>
      <c r="B29">
        <v>83.2</v>
      </c>
      <c r="C29" t="s">
        <v>7</v>
      </c>
      <c r="D29" s="1">
        <f t="shared" si="0"/>
        <v>83.2</v>
      </c>
      <c r="E29">
        <v>2023</v>
      </c>
    </row>
    <row r="30" spans="1:5" x14ac:dyDescent="0.25">
      <c r="A30" t="s">
        <v>39</v>
      </c>
      <c r="B30">
        <v>75.97</v>
      </c>
      <c r="C30" t="s">
        <v>29</v>
      </c>
      <c r="D30" s="1">
        <f t="shared" si="0"/>
        <v>75.97</v>
      </c>
      <c r="E30">
        <v>2023</v>
      </c>
    </row>
    <row r="31" spans="1:5" x14ac:dyDescent="0.25">
      <c r="A31" t="s">
        <v>40</v>
      </c>
      <c r="B31">
        <v>72.03</v>
      </c>
      <c r="C31" t="s">
        <v>4</v>
      </c>
      <c r="D31" s="1">
        <f t="shared" si="0"/>
        <v>72.03</v>
      </c>
      <c r="E31">
        <v>2023</v>
      </c>
    </row>
    <row r="32" spans="1:5" x14ac:dyDescent="0.25">
      <c r="A32" t="s">
        <v>41</v>
      </c>
      <c r="B32">
        <v>70.010000000000005</v>
      </c>
      <c r="C32" t="s">
        <v>4</v>
      </c>
      <c r="D32" s="1">
        <f t="shared" si="0"/>
        <v>70.010000000000005</v>
      </c>
      <c r="E32">
        <v>2023</v>
      </c>
    </row>
    <row r="33" spans="1:5" x14ac:dyDescent="0.25">
      <c r="A33" t="s">
        <v>42</v>
      </c>
      <c r="B33">
        <v>60.07</v>
      </c>
      <c r="C33" t="s">
        <v>29</v>
      </c>
      <c r="D33" s="1">
        <f t="shared" si="0"/>
        <v>60.07</v>
      </c>
      <c r="E33">
        <v>2023</v>
      </c>
    </row>
    <row r="34" spans="1:5" x14ac:dyDescent="0.25">
      <c r="A34" t="s">
        <v>43</v>
      </c>
      <c r="B34">
        <v>57.69</v>
      </c>
      <c r="C34" t="s">
        <v>29</v>
      </c>
      <c r="D34" s="1">
        <f t="shared" si="0"/>
        <v>57.69</v>
      </c>
      <c r="E34">
        <v>2023</v>
      </c>
    </row>
    <row r="35" spans="1:5" x14ac:dyDescent="0.25">
      <c r="A35" t="s">
        <v>44</v>
      </c>
      <c r="B35">
        <v>57.42</v>
      </c>
      <c r="C35" t="s">
        <v>14</v>
      </c>
      <c r="D35" s="1">
        <f t="shared" si="0"/>
        <v>57.42</v>
      </c>
      <c r="E35">
        <v>2023</v>
      </c>
    </row>
    <row r="36" spans="1:5" x14ac:dyDescent="0.25">
      <c r="A36" t="s">
        <v>45</v>
      </c>
      <c r="B36">
        <v>52.8</v>
      </c>
      <c r="C36" t="s">
        <v>29</v>
      </c>
      <c r="D36" s="1">
        <f t="shared" si="0"/>
        <v>52.8</v>
      </c>
      <c r="E36">
        <v>2023</v>
      </c>
    </row>
    <row r="37" spans="1:5" x14ac:dyDescent="0.25">
      <c r="A37" t="s">
        <v>46</v>
      </c>
      <c r="B37">
        <v>45.53</v>
      </c>
      <c r="C37" t="s">
        <v>4</v>
      </c>
      <c r="D37" s="1">
        <f t="shared" si="0"/>
        <v>45.53</v>
      </c>
      <c r="E37">
        <v>2023</v>
      </c>
    </row>
    <row r="38" spans="1:5" x14ac:dyDescent="0.25">
      <c r="A38" t="s">
        <v>47</v>
      </c>
      <c r="B38">
        <v>44.6</v>
      </c>
      <c r="C38" t="s">
        <v>48</v>
      </c>
      <c r="D38" s="1">
        <f t="shared" si="0"/>
        <v>44.6</v>
      </c>
      <c r="E38">
        <v>2023</v>
      </c>
    </row>
    <row r="39" spans="1:5" x14ac:dyDescent="0.25">
      <c r="A39" t="s">
        <v>49</v>
      </c>
      <c r="B39">
        <v>42.46</v>
      </c>
      <c r="C39" t="s">
        <v>29</v>
      </c>
      <c r="D39" s="1">
        <f t="shared" si="0"/>
        <v>42.46</v>
      </c>
      <c r="E39">
        <v>2023</v>
      </c>
    </row>
    <row r="40" spans="1:5" x14ac:dyDescent="0.25">
      <c r="A40" t="s">
        <v>50</v>
      </c>
      <c r="B40">
        <v>42.19</v>
      </c>
      <c r="C40" t="s">
        <v>32</v>
      </c>
      <c r="D40" s="1">
        <f t="shared" si="0"/>
        <v>42.19</v>
      </c>
      <c r="E40">
        <v>2023</v>
      </c>
    </row>
    <row r="41" spans="1:5" x14ac:dyDescent="0.25">
      <c r="A41" t="s">
        <v>51</v>
      </c>
      <c r="B41">
        <v>42.19</v>
      </c>
      <c r="C41" t="s">
        <v>48</v>
      </c>
      <c r="D41" s="1">
        <f t="shared" si="0"/>
        <v>42.19</v>
      </c>
      <c r="E41">
        <v>2023</v>
      </c>
    </row>
    <row r="42" spans="1:5" x14ac:dyDescent="0.25">
      <c r="A42" t="s">
        <v>52</v>
      </c>
      <c r="B42">
        <v>41.75</v>
      </c>
      <c r="C42" t="s">
        <v>29</v>
      </c>
      <c r="D42" s="1">
        <f t="shared" si="0"/>
        <v>41.75</v>
      </c>
      <c r="E42">
        <v>2023</v>
      </c>
    </row>
    <row r="43" spans="1:5" x14ac:dyDescent="0.25">
      <c r="A43" t="s">
        <v>53</v>
      </c>
      <c r="B43">
        <v>39.4</v>
      </c>
      <c r="C43" t="s">
        <v>48</v>
      </c>
      <c r="D43" s="1">
        <f t="shared" si="0"/>
        <v>39.4</v>
      </c>
      <c r="E43">
        <v>2023</v>
      </c>
    </row>
    <row r="44" spans="1:5" x14ac:dyDescent="0.25">
      <c r="A44" t="s">
        <v>54</v>
      </c>
      <c r="B44">
        <v>38.83</v>
      </c>
      <c r="C44" t="s">
        <v>48</v>
      </c>
      <c r="D44" s="1">
        <f t="shared" si="0"/>
        <v>38.83</v>
      </c>
      <c r="E44">
        <v>2023</v>
      </c>
    </row>
    <row r="45" spans="1:5" x14ac:dyDescent="0.25">
      <c r="A45" t="s">
        <v>55</v>
      </c>
      <c r="B45">
        <v>38.65</v>
      </c>
      <c r="C45" t="s">
        <v>14</v>
      </c>
      <c r="D45" s="1">
        <f t="shared" si="0"/>
        <v>38.65</v>
      </c>
      <c r="E45">
        <v>2023</v>
      </c>
    </row>
    <row r="46" spans="1:5" x14ac:dyDescent="0.25">
      <c r="A46" t="s">
        <v>56</v>
      </c>
      <c r="B46">
        <v>34.82</v>
      </c>
      <c r="C46" t="s">
        <v>29</v>
      </c>
      <c r="D46" s="1">
        <f t="shared" si="0"/>
        <v>34.82</v>
      </c>
      <c r="E46">
        <v>2023</v>
      </c>
    </row>
    <row r="47" spans="1:5" x14ac:dyDescent="0.25">
      <c r="A47" t="s">
        <v>57</v>
      </c>
      <c r="B47">
        <v>33.340000000000003</v>
      </c>
      <c r="C47" t="s">
        <v>48</v>
      </c>
      <c r="D47" s="1">
        <f t="shared" si="0"/>
        <v>33.340000000000003</v>
      </c>
      <c r="E47">
        <v>2023</v>
      </c>
    </row>
    <row r="48" spans="1:5" x14ac:dyDescent="0.25">
      <c r="A48" t="s">
        <v>58</v>
      </c>
      <c r="B48">
        <v>33.04</v>
      </c>
      <c r="C48" t="s">
        <v>59</v>
      </c>
      <c r="D48" s="1">
        <f t="shared" si="0"/>
        <v>33.04</v>
      </c>
      <c r="E48">
        <v>2023</v>
      </c>
    </row>
    <row r="49" spans="1:5" x14ac:dyDescent="0.25">
      <c r="A49" t="s">
        <v>60</v>
      </c>
      <c r="B49">
        <v>32.590000000000003</v>
      </c>
      <c r="C49" t="s">
        <v>14</v>
      </c>
      <c r="D49" s="1">
        <f t="shared" si="0"/>
        <v>32.590000000000003</v>
      </c>
      <c r="E49">
        <v>2023</v>
      </c>
    </row>
    <row r="50" spans="1:5" x14ac:dyDescent="0.25">
      <c r="A50" t="s">
        <v>61</v>
      </c>
      <c r="B50">
        <v>32.35</v>
      </c>
      <c r="C50" t="s">
        <v>48</v>
      </c>
      <c r="D50" s="1">
        <f t="shared" si="0"/>
        <v>32.35</v>
      </c>
      <c r="E50">
        <v>2023</v>
      </c>
    </row>
    <row r="51" spans="1:5" x14ac:dyDescent="0.25">
      <c r="A51" t="s">
        <v>62</v>
      </c>
      <c r="B51">
        <v>30.82</v>
      </c>
      <c r="C51" t="s">
        <v>48</v>
      </c>
      <c r="D51" s="1">
        <f t="shared" si="0"/>
        <v>30.82</v>
      </c>
      <c r="E51">
        <v>2023</v>
      </c>
    </row>
    <row r="52" spans="1:5" x14ac:dyDescent="0.25">
      <c r="A52" t="s">
        <v>63</v>
      </c>
      <c r="B52">
        <v>30.81</v>
      </c>
      <c r="C52" t="s">
        <v>48</v>
      </c>
      <c r="D52" s="1">
        <f t="shared" si="0"/>
        <v>30.81</v>
      </c>
      <c r="E52">
        <v>2023</v>
      </c>
    </row>
    <row r="53" spans="1:5" x14ac:dyDescent="0.25">
      <c r="A53" t="s">
        <v>64</v>
      </c>
      <c r="B53">
        <v>30.04</v>
      </c>
      <c r="C53" t="s">
        <v>48</v>
      </c>
      <c r="D53" s="1">
        <f t="shared" si="0"/>
        <v>30.04</v>
      </c>
      <c r="E53">
        <v>2023</v>
      </c>
    </row>
    <row r="54" spans="1:5" x14ac:dyDescent="0.25">
      <c r="A54" t="s">
        <v>65</v>
      </c>
      <c r="B54">
        <v>29.01</v>
      </c>
      <c r="C54" t="s">
        <v>48</v>
      </c>
      <c r="D54" s="1">
        <f t="shared" si="0"/>
        <v>29.01</v>
      </c>
      <c r="E54">
        <v>2023</v>
      </c>
    </row>
    <row r="55" spans="1:5" x14ac:dyDescent="0.25">
      <c r="A55" t="s">
        <v>66</v>
      </c>
      <c r="B55">
        <v>28.5</v>
      </c>
      <c r="C55" t="s">
        <v>29</v>
      </c>
      <c r="D55" s="1">
        <f t="shared" si="0"/>
        <v>28.5</v>
      </c>
      <c r="E55">
        <v>2023</v>
      </c>
    </row>
    <row r="56" spans="1:5" x14ac:dyDescent="0.25">
      <c r="A56" t="s">
        <v>67</v>
      </c>
      <c r="B56">
        <v>26.67</v>
      </c>
      <c r="C56" t="s">
        <v>48</v>
      </c>
      <c r="D56" s="1">
        <f t="shared" si="0"/>
        <v>26.67</v>
      </c>
      <c r="E56">
        <v>2023</v>
      </c>
    </row>
    <row r="57" spans="1:5" x14ac:dyDescent="0.25">
      <c r="A57" t="s">
        <v>68</v>
      </c>
      <c r="B57">
        <v>24.8</v>
      </c>
      <c r="C57" t="s">
        <v>48</v>
      </c>
      <c r="D57" s="1">
        <f t="shared" si="0"/>
        <v>24.8</v>
      </c>
      <c r="E57">
        <v>2023</v>
      </c>
    </row>
    <row r="58" spans="1:5" x14ac:dyDescent="0.25">
      <c r="A58" t="s">
        <v>69</v>
      </c>
      <c r="B58">
        <v>24.76</v>
      </c>
      <c r="C58" t="s">
        <v>29</v>
      </c>
      <c r="D58" s="1">
        <f t="shared" si="0"/>
        <v>24.76</v>
      </c>
      <c r="E58">
        <v>2023</v>
      </c>
    </row>
    <row r="59" spans="1:5" x14ac:dyDescent="0.25">
      <c r="A59" t="s">
        <v>70</v>
      </c>
      <c r="B59">
        <v>23.58</v>
      </c>
      <c r="C59" t="s">
        <v>29</v>
      </c>
      <c r="D59" s="1">
        <f t="shared" si="0"/>
        <v>23.58</v>
      </c>
      <c r="E59">
        <v>2023</v>
      </c>
    </row>
    <row r="60" spans="1:5" x14ac:dyDescent="0.25">
      <c r="A60" t="s">
        <v>71</v>
      </c>
      <c r="B60">
        <v>23.45</v>
      </c>
      <c r="C60" t="s">
        <v>48</v>
      </c>
      <c r="D60" s="1">
        <f t="shared" si="0"/>
        <v>23.45</v>
      </c>
      <c r="E60">
        <v>2023</v>
      </c>
    </row>
    <row r="61" spans="1:5" x14ac:dyDescent="0.25">
      <c r="A61" t="s">
        <v>72</v>
      </c>
      <c r="B61">
        <v>22.55</v>
      </c>
      <c r="C61" t="s">
        <v>29</v>
      </c>
      <c r="D61" s="1">
        <f t="shared" si="0"/>
        <v>22.55</v>
      </c>
      <c r="E61">
        <v>2023</v>
      </c>
    </row>
    <row r="62" spans="1:5" x14ac:dyDescent="0.25">
      <c r="A62" t="s">
        <v>73</v>
      </c>
      <c r="B62">
        <v>22.45</v>
      </c>
      <c r="C62" t="s">
        <v>48</v>
      </c>
      <c r="D62" s="1">
        <f t="shared" si="0"/>
        <v>22.45</v>
      </c>
      <c r="E62">
        <v>2023</v>
      </c>
    </row>
    <row r="63" spans="1:5" x14ac:dyDescent="0.25">
      <c r="A63" t="s">
        <v>74</v>
      </c>
      <c r="B63">
        <v>21.73</v>
      </c>
      <c r="C63" t="s">
        <v>14</v>
      </c>
      <c r="D63" s="1">
        <f t="shared" si="0"/>
        <v>21.73</v>
      </c>
      <c r="E63">
        <v>2023</v>
      </c>
    </row>
    <row r="64" spans="1:5" x14ac:dyDescent="0.25">
      <c r="A64" t="s">
        <v>75</v>
      </c>
      <c r="B64">
        <v>20.420000000000002</v>
      </c>
      <c r="C64" t="s">
        <v>48</v>
      </c>
      <c r="D64" s="1">
        <f t="shared" si="0"/>
        <v>20.420000000000002</v>
      </c>
      <c r="E64">
        <v>2023</v>
      </c>
    </row>
    <row r="65" spans="1:5" x14ac:dyDescent="0.25">
      <c r="A65" t="s">
        <v>76</v>
      </c>
      <c r="B65">
        <v>20</v>
      </c>
      <c r="C65" t="s">
        <v>48</v>
      </c>
      <c r="D65" s="1">
        <f t="shared" si="0"/>
        <v>20</v>
      </c>
      <c r="E65">
        <v>2023</v>
      </c>
    </row>
    <row r="66" spans="1:5" x14ac:dyDescent="0.25">
      <c r="A66" t="s">
        <v>77</v>
      </c>
      <c r="B66">
        <v>19.440000000000001</v>
      </c>
      <c r="C66" t="s">
        <v>48</v>
      </c>
      <c r="D66" s="1">
        <f t="shared" si="0"/>
        <v>19.440000000000001</v>
      </c>
      <c r="E66">
        <v>2023</v>
      </c>
    </row>
    <row r="67" spans="1:5" x14ac:dyDescent="0.25">
      <c r="A67" t="s">
        <v>78</v>
      </c>
      <c r="B67">
        <v>18.7</v>
      </c>
      <c r="C67" t="s">
        <v>48</v>
      </c>
      <c r="D67" s="1">
        <f t="shared" ref="D67:D130" si="1">B67-SUMIFS(B:B,E:E,E67-1,A:A,A67)</f>
        <v>18.7</v>
      </c>
      <c r="E67">
        <v>2023</v>
      </c>
    </row>
    <row r="68" spans="1:5" x14ac:dyDescent="0.25">
      <c r="A68" t="s">
        <v>79</v>
      </c>
      <c r="B68">
        <v>17.600000000000001</v>
      </c>
      <c r="C68" t="s">
        <v>29</v>
      </c>
      <c r="D68" s="1">
        <f t="shared" si="1"/>
        <v>17.600000000000001</v>
      </c>
      <c r="E68">
        <v>2023</v>
      </c>
    </row>
    <row r="69" spans="1:5" x14ac:dyDescent="0.25">
      <c r="A69" t="s">
        <v>80</v>
      </c>
      <c r="B69">
        <v>15.37</v>
      </c>
      <c r="C69" t="s">
        <v>48</v>
      </c>
      <c r="D69" s="1">
        <f t="shared" si="1"/>
        <v>15.37</v>
      </c>
      <c r="E69">
        <v>2023</v>
      </c>
    </row>
    <row r="70" spans="1:5" x14ac:dyDescent="0.25">
      <c r="A70" t="s">
        <v>81</v>
      </c>
      <c r="B70">
        <v>15.12</v>
      </c>
      <c r="C70" t="s">
        <v>48</v>
      </c>
      <c r="D70" s="1">
        <f t="shared" si="1"/>
        <v>15.12</v>
      </c>
      <c r="E70">
        <v>2023</v>
      </c>
    </row>
    <row r="71" spans="1:5" x14ac:dyDescent="0.25">
      <c r="A71" t="s">
        <v>82</v>
      </c>
      <c r="B71">
        <v>15.05</v>
      </c>
      <c r="C71" t="s">
        <v>48</v>
      </c>
      <c r="D71" s="1">
        <f t="shared" si="1"/>
        <v>15.05</v>
      </c>
      <c r="E71">
        <v>2023</v>
      </c>
    </row>
    <row r="72" spans="1:5" x14ac:dyDescent="0.25">
      <c r="A72" t="s">
        <v>83</v>
      </c>
      <c r="B72">
        <v>14.33</v>
      </c>
      <c r="C72" t="s">
        <v>48</v>
      </c>
      <c r="D72" s="1">
        <f t="shared" si="1"/>
        <v>14.33</v>
      </c>
      <c r="E72">
        <v>2023</v>
      </c>
    </row>
    <row r="73" spans="1:5" x14ac:dyDescent="0.25">
      <c r="A73" t="s">
        <v>84</v>
      </c>
      <c r="B73">
        <v>13.28</v>
      </c>
      <c r="C73" t="s">
        <v>48</v>
      </c>
      <c r="D73" s="1">
        <f t="shared" si="1"/>
        <v>13.28</v>
      </c>
      <c r="E73">
        <v>2023</v>
      </c>
    </row>
    <row r="74" spans="1:5" x14ac:dyDescent="0.25">
      <c r="A74" t="s">
        <v>85</v>
      </c>
      <c r="B74">
        <v>12.99</v>
      </c>
      <c r="C74" t="s">
        <v>29</v>
      </c>
      <c r="D74" s="1">
        <f t="shared" si="1"/>
        <v>12.99</v>
      </c>
      <c r="E74">
        <v>2023</v>
      </c>
    </row>
    <row r="75" spans="1:5" x14ac:dyDescent="0.25">
      <c r="A75" t="s">
        <v>86</v>
      </c>
      <c r="B75">
        <v>12.6</v>
      </c>
      <c r="C75" t="s">
        <v>48</v>
      </c>
      <c r="D75" s="1">
        <f t="shared" si="1"/>
        <v>12.6</v>
      </c>
      <c r="E75">
        <v>2023</v>
      </c>
    </row>
    <row r="76" spans="1:5" x14ac:dyDescent="0.25">
      <c r="A76" t="s">
        <v>87</v>
      </c>
      <c r="B76">
        <v>12.21</v>
      </c>
      <c r="C76" t="s">
        <v>4</v>
      </c>
      <c r="D76" s="1">
        <f t="shared" si="1"/>
        <v>12.21</v>
      </c>
      <c r="E76">
        <v>2023</v>
      </c>
    </row>
    <row r="77" spans="1:5" x14ac:dyDescent="0.25">
      <c r="A77" t="s">
        <v>88</v>
      </c>
      <c r="B77">
        <v>10.28</v>
      </c>
      <c r="C77" t="s">
        <v>4</v>
      </c>
      <c r="D77" s="1">
        <f t="shared" si="1"/>
        <v>10.28</v>
      </c>
      <c r="E77">
        <v>2023</v>
      </c>
    </row>
    <row r="78" spans="1:5" x14ac:dyDescent="0.25">
      <c r="A78" t="s">
        <v>89</v>
      </c>
      <c r="B78">
        <v>9.52</v>
      </c>
      <c r="C78" t="s">
        <v>48</v>
      </c>
      <c r="D78" s="1">
        <f t="shared" si="1"/>
        <v>9.52</v>
      </c>
      <c r="E78">
        <v>2023</v>
      </c>
    </row>
    <row r="79" spans="1:5" x14ac:dyDescent="0.25">
      <c r="A79" t="s">
        <v>90</v>
      </c>
      <c r="B79">
        <v>9</v>
      </c>
      <c r="C79" t="s">
        <v>59</v>
      </c>
      <c r="D79" s="1">
        <f t="shared" si="1"/>
        <v>9</v>
      </c>
      <c r="E79">
        <v>2023</v>
      </c>
    </row>
    <row r="80" spans="1:5" x14ac:dyDescent="0.25">
      <c r="A80" t="s">
        <v>91</v>
      </c>
      <c r="B80">
        <v>8.82</v>
      </c>
      <c r="C80" t="s">
        <v>48</v>
      </c>
      <c r="D80" s="1">
        <f t="shared" si="1"/>
        <v>8.82</v>
      </c>
      <c r="E80">
        <v>2023</v>
      </c>
    </row>
    <row r="81" spans="1:5" x14ac:dyDescent="0.25">
      <c r="A81" t="s">
        <v>92</v>
      </c>
      <c r="B81">
        <v>8.2200000000000006</v>
      </c>
      <c r="C81" t="s">
        <v>48</v>
      </c>
      <c r="D81" s="1">
        <f t="shared" si="1"/>
        <v>8.2200000000000006</v>
      </c>
      <c r="E81">
        <v>2023</v>
      </c>
    </row>
    <row r="82" spans="1:5" x14ac:dyDescent="0.25">
      <c r="A82" t="s">
        <v>93</v>
      </c>
      <c r="B82">
        <v>8.0299999999999994</v>
      </c>
      <c r="C82" t="s">
        <v>48</v>
      </c>
      <c r="D82" s="1">
        <f t="shared" si="1"/>
        <v>8.0299999999999994</v>
      </c>
      <c r="E82">
        <v>2023</v>
      </c>
    </row>
    <row r="83" spans="1:5" x14ac:dyDescent="0.25">
      <c r="A83" t="s">
        <v>94</v>
      </c>
      <c r="B83">
        <v>7.52</v>
      </c>
      <c r="C83" t="s">
        <v>48</v>
      </c>
      <c r="D83" s="1">
        <f t="shared" si="1"/>
        <v>7.52</v>
      </c>
      <c r="E83">
        <v>2023</v>
      </c>
    </row>
    <row r="84" spans="1:5" x14ac:dyDescent="0.25">
      <c r="A84" t="s">
        <v>95</v>
      </c>
      <c r="B84">
        <v>7.33</v>
      </c>
      <c r="C84" t="s">
        <v>48</v>
      </c>
      <c r="D84" s="1">
        <f t="shared" si="1"/>
        <v>7.33</v>
      </c>
      <c r="E84">
        <v>2023</v>
      </c>
    </row>
    <row r="85" spans="1:5" x14ac:dyDescent="0.25">
      <c r="A85" t="s">
        <v>96</v>
      </c>
      <c r="B85">
        <v>7.26</v>
      </c>
      <c r="C85" t="s">
        <v>48</v>
      </c>
      <c r="D85" s="1">
        <f t="shared" si="1"/>
        <v>7.26</v>
      </c>
      <c r="E85">
        <v>2023</v>
      </c>
    </row>
    <row r="86" spans="1:5" x14ac:dyDescent="0.25">
      <c r="A86" t="s">
        <v>97</v>
      </c>
      <c r="B86">
        <v>6.51</v>
      </c>
      <c r="C86" t="s">
        <v>48</v>
      </c>
      <c r="D86" s="1">
        <f t="shared" si="1"/>
        <v>6.51</v>
      </c>
      <c r="E86">
        <v>2023</v>
      </c>
    </row>
    <row r="87" spans="1:5" x14ac:dyDescent="0.25">
      <c r="A87" t="s">
        <v>98</v>
      </c>
      <c r="B87">
        <v>6.16</v>
      </c>
      <c r="C87" t="s">
        <v>48</v>
      </c>
      <c r="D87" s="1">
        <f t="shared" si="1"/>
        <v>6.16</v>
      </c>
      <c r="E87">
        <v>2023</v>
      </c>
    </row>
    <row r="88" spans="1:5" x14ac:dyDescent="0.25">
      <c r="A88" t="s">
        <v>99</v>
      </c>
      <c r="B88">
        <v>5.28</v>
      </c>
      <c r="C88" t="s">
        <v>14</v>
      </c>
      <c r="D88" s="1">
        <f t="shared" si="1"/>
        <v>5.28</v>
      </c>
      <c r="E88">
        <v>2023</v>
      </c>
    </row>
    <row r="89" spans="1:5" x14ac:dyDescent="0.25">
      <c r="A89" t="s">
        <v>100</v>
      </c>
      <c r="B89">
        <v>5.27</v>
      </c>
      <c r="C89" t="s">
        <v>14</v>
      </c>
      <c r="D89" s="1">
        <f t="shared" si="1"/>
        <v>5.27</v>
      </c>
      <c r="E89">
        <v>2023</v>
      </c>
    </row>
    <row r="90" spans="1:5" x14ac:dyDescent="0.25">
      <c r="A90" t="s">
        <v>101</v>
      </c>
      <c r="B90">
        <v>4.1399999999999997</v>
      </c>
      <c r="C90" t="s">
        <v>59</v>
      </c>
      <c r="D90" s="1">
        <f t="shared" si="1"/>
        <v>4.1399999999999997</v>
      </c>
      <c r="E90">
        <v>2023</v>
      </c>
    </row>
    <row r="91" spans="1:5" x14ac:dyDescent="0.25">
      <c r="A91" t="s">
        <v>102</v>
      </c>
      <c r="B91">
        <v>3.79</v>
      </c>
      <c r="C91" t="s">
        <v>48</v>
      </c>
      <c r="D91" s="1">
        <f t="shared" si="1"/>
        <v>3.79</v>
      </c>
      <c r="E91">
        <v>2023</v>
      </c>
    </row>
    <row r="92" spans="1:5" x14ac:dyDescent="0.25">
      <c r="A92" t="s">
        <v>103</v>
      </c>
      <c r="B92">
        <v>3.68</v>
      </c>
      <c r="C92" t="s">
        <v>48</v>
      </c>
      <c r="D92" s="1">
        <f t="shared" si="1"/>
        <v>3.68</v>
      </c>
      <c r="E92">
        <v>2023</v>
      </c>
    </row>
    <row r="93" spans="1:5" x14ac:dyDescent="0.25">
      <c r="A93" t="s">
        <v>104</v>
      </c>
      <c r="B93">
        <v>3.58</v>
      </c>
      <c r="C93" t="s">
        <v>48</v>
      </c>
      <c r="D93" s="1">
        <f t="shared" si="1"/>
        <v>3.58</v>
      </c>
      <c r="E93">
        <v>2023</v>
      </c>
    </row>
    <row r="94" spans="1:5" x14ac:dyDescent="0.25">
      <c r="A94" t="s">
        <v>105</v>
      </c>
      <c r="B94">
        <v>3.53</v>
      </c>
      <c r="C94" t="s">
        <v>48</v>
      </c>
      <c r="D94" s="1">
        <f t="shared" si="1"/>
        <v>3.53</v>
      </c>
      <c r="E94">
        <v>2023</v>
      </c>
    </row>
    <row r="95" spans="1:5" x14ac:dyDescent="0.25">
      <c r="A95" t="s">
        <v>106</v>
      </c>
      <c r="B95">
        <v>3.1</v>
      </c>
      <c r="C95" t="s">
        <v>48</v>
      </c>
      <c r="D95" s="1">
        <f t="shared" si="1"/>
        <v>3.1</v>
      </c>
      <c r="E95">
        <v>2023</v>
      </c>
    </row>
    <row r="96" spans="1:5" x14ac:dyDescent="0.25">
      <c r="A96" t="s">
        <v>107</v>
      </c>
      <c r="B96">
        <v>2.59</v>
      </c>
      <c r="C96" t="s">
        <v>48</v>
      </c>
      <c r="D96" s="1">
        <f t="shared" si="1"/>
        <v>2.59</v>
      </c>
      <c r="E96">
        <v>2023</v>
      </c>
    </row>
    <row r="97" spans="1:5" x14ac:dyDescent="0.25">
      <c r="A97" t="s">
        <v>108</v>
      </c>
      <c r="B97">
        <v>2.35</v>
      </c>
      <c r="C97" t="s">
        <v>4</v>
      </c>
      <c r="D97" s="1">
        <f t="shared" si="1"/>
        <v>2.35</v>
      </c>
      <c r="E97">
        <v>2023</v>
      </c>
    </row>
    <row r="98" spans="1:5" x14ac:dyDescent="0.25">
      <c r="A98" t="s">
        <v>109</v>
      </c>
      <c r="B98">
        <v>1.38</v>
      </c>
      <c r="C98" t="s">
        <v>48</v>
      </c>
      <c r="D98" s="1">
        <f t="shared" si="1"/>
        <v>1.38</v>
      </c>
      <c r="E98">
        <v>2023</v>
      </c>
    </row>
    <row r="99" spans="1:5" x14ac:dyDescent="0.25">
      <c r="A99" t="s">
        <v>110</v>
      </c>
      <c r="B99">
        <v>1.29</v>
      </c>
      <c r="C99" t="s">
        <v>4</v>
      </c>
      <c r="D99" s="1">
        <f t="shared" si="1"/>
        <v>1.29</v>
      </c>
      <c r="E99">
        <v>2023</v>
      </c>
    </row>
    <row r="100" spans="1:5" x14ac:dyDescent="0.25">
      <c r="A100" t="s">
        <v>111</v>
      </c>
      <c r="B100">
        <v>1.08</v>
      </c>
      <c r="C100" t="s">
        <v>14</v>
      </c>
      <c r="D100" s="1">
        <f t="shared" si="1"/>
        <v>1.08</v>
      </c>
      <c r="E100">
        <v>2023</v>
      </c>
    </row>
    <row r="101" spans="1:5" x14ac:dyDescent="0.25">
      <c r="A101" t="s">
        <v>112</v>
      </c>
      <c r="B101">
        <v>0.47</v>
      </c>
      <c r="C101" t="s">
        <v>14</v>
      </c>
      <c r="D101" s="1">
        <f t="shared" si="1"/>
        <v>0.47</v>
      </c>
      <c r="E101">
        <v>2023</v>
      </c>
    </row>
    <row r="102" spans="1:5" x14ac:dyDescent="0.25">
      <c r="A102" t="s">
        <v>113</v>
      </c>
      <c r="B102">
        <v>0.28999999999999998</v>
      </c>
      <c r="C102" t="s">
        <v>59</v>
      </c>
      <c r="D102" s="1">
        <f t="shared" si="1"/>
        <v>0.28999999999999998</v>
      </c>
      <c r="E102">
        <v>2023</v>
      </c>
    </row>
    <row r="103" spans="1:5" x14ac:dyDescent="0.25">
      <c r="A103" t="s">
        <v>114</v>
      </c>
      <c r="B103">
        <v>0.17</v>
      </c>
      <c r="C103" t="s">
        <v>14</v>
      </c>
      <c r="D103" s="1">
        <f t="shared" si="1"/>
        <v>0.17</v>
      </c>
      <c r="E103">
        <v>2023</v>
      </c>
    </row>
    <row r="104" spans="1:5" x14ac:dyDescent="0.25">
      <c r="A104" t="s">
        <v>115</v>
      </c>
      <c r="B104">
        <v>0.1</v>
      </c>
      <c r="C104" t="s">
        <v>48</v>
      </c>
      <c r="D104" s="1">
        <f t="shared" si="1"/>
        <v>0.1</v>
      </c>
      <c r="E104">
        <v>2023</v>
      </c>
    </row>
    <row r="105" spans="1:5" x14ac:dyDescent="0.25">
      <c r="A105" t="s">
        <v>116</v>
      </c>
      <c r="B105">
        <v>0.02</v>
      </c>
      <c r="C105" t="s">
        <v>48</v>
      </c>
      <c r="D105" s="1">
        <f t="shared" si="1"/>
        <v>0.02</v>
      </c>
      <c r="E105">
        <v>2023</v>
      </c>
    </row>
    <row r="106" spans="1:5" x14ac:dyDescent="0.25">
      <c r="A106" t="s">
        <v>118</v>
      </c>
      <c r="B106">
        <v>42.92</v>
      </c>
      <c r="C106" t="s">
        <v>59</v>
      </c>
      <c r="D106" s="1">
        <f t="shared" si="1"/>
        <v>42.92</v>
      </c>
      <c r="E106">
        <v>2023</v>
      </c>
    </row>
    <row r="107" spans="1:5" x14ac:dyDescent="0.25">
      <c r="A107" t="s">
        <v>119</v>
      </c>
      <c r="B107">
        <v>36.56</v>
      </c>
      <c r="C107" t="s">
        <v>29</v>
      </c>
      <c r="D107" s="1">
        <f t="shared" si="1"/>
        <v>36.56</v>
      </c>
      <c r="E107">
        <v>2023</v>
      </c>
    </row>
    <row r="108" spans="1:5" x14ac:dyDescent="0.25">
      <c r="A108" t="s">
        <v>120</v>
      </c>
      <c r="B108">
        <v>26.71</v>
      </c>
      <c r="C108" t="s">
        <v>59</v>
      </c>
      <c r="D108" s="1">
        <f t="shared" si="1"/>
        <v>26.71</v>
      </c>
      <c r="E108">
        <v>2023</v>
      </c>
    </row>
    <row r="109" spans="1:5" x14ac:dyDescent="0.25">
      <c r="A109" t="s">
        <v>121</v>
      </c>
      <c r="B109">
        <v>18.12</v>
      </c>
      <c r="C109" t="s">
        <v>59</v>
      </c>
      <c r="D109" s="1">
        <f t="shared" si="1"/>
        <v>18.12</v>
      </c>
      <c r="E109">
        <v>2023</v>
      </c>
    </row>
    <row r="110" spans="1:5" x14ac:dyDescent="0.25">
      <c r="A110" t="s">
        <v>122</v>
      </c>
      <c r="B110">
        <v>13.96</v>
      </c>
      <c r="C110" t="s">
        <v>4</v>
      </c>
      <c r="D110" s="1">
        <f t="shared" si="1"/>
        <v>13.96</v>
      </c>
      <c r="E110">
        <v>2023</v>
      </c>
    </row>
    <row r="111" spans="1:5" x14ac:dyDescent="0.25">
      <c r="A111" t="s">
        <v>123</v>
      </c>
      <c r="B111">
        <v>4.92</v>
      </c>
      <c r="C111" t="s">
        <v>29</v>
      </c>
      <c r="D111" s="1">
        <f t="shared" si="1"/>
        <v>4.92</v>
      </c>
      <c r="E111">
        <v>2023</v>
      </c>
    </row>
    <row r="112" spans="1:5" x14ac:dyDescent="0.25">
      <c r="A112" t="s">
        <v>124</v>
      </c>
      <c r="B112">
        <v>1.29</v>
      </c>
      <c r="C112" t="s">
        <v>59</v>
      </c>
      <c r="D112" s="1">
        <f t="shared" si="1"/>
        <v>1.29</v>
      </c>
      <c r="E112">
        <v>2023</v>
      </c>
    </row>
    <row r="113" spans="1:5" x14ac:dyDescent="0.25">
      <c r="A113" t="s">
        <v>3</v>
      </c>
      <c r="B113" s="1">
        <v>1707.98</v>
      </c>
      <c r="C113" t="s">
        <v>4</v>
      </c>
      <c r="D113" s="1">
        <f t="shared" si="1"/>
        <v>31.1400000000001</v>
      </c>
      <c r="E113">
        <v>2024</v>
      </c>
    </row>
    <row r="114" spans="1:5" x14ac:dyDescent="0.25">
      <c r="A114" t="s">
        <v>5</v>
      </c>
      <c r="B114" s="1">
        <v>1432.22</v>
      </c>
      <c r="C114" t="s">
        <v>4</v>
      </c>
      <c r="D114" s="1">
        <f t="shared" si="1"/>
        <v>-122.56999999999994</v>
      </c>
      <c r="E114">
        <v>2024</v>
      </c>
    </row>
    <row r="115" spans="1:5" x14ac:dyDescent="0.25">
      <c r="A115" t="s">
        <v>6</v>
      </c>
      <c r="B115" s="1">
        <v>1478.75</v>
      </c>
      <c r="C115" t="s">
        <v>7</v>
      </c>
      <c r="D115" s="1">
        <f t="shared" si="1"/>
        <v>234.17000000000007</v>
      </c>
      <c r="E115">
        <v>2024</v>
      </c>
    </row>
    <row r="116" spans="1:5" x14ac:dyDescent="0.25">
      <c r="A116" t="s">
        <v>8</v>
      </c>
      <c r="B116">
        <v>469.29</v>
      </c>
      <c r="C116" t="s">
        <v>7</v>
      </c>
      <c r="D116" s="1">
        <f t="shared" si="1"/>
        <v>43.81</v>
      </c>
      <c r="E116">
        <v>2024</v>
      </c>
    </row>
    <row r="117" spans="1:5" x14ac:dyDescent="0.25">
      <c r="A117" t="s">
        <v>9</v>
      </c>
      <c r="B117">
        <v>342.84</v>
      </c>
      <c r="C117" t="s">
        <v>10</v>
      </c>
      <c r="D117" s="1">
        <f t="shared" si="1"/>
        <v>-34.520000000000039</v>
      </c>
      <c r="E117">
        <v>2024</v>
      </c>
    </row>
    <row r="118" spans="1:5" x14ac:dyDescent="0.25">
      <c r="A118" t="s">
        <v>11</v>
      </c>
      <c r="B118">
        <v>358.11</v>
      </c>
      <c r="C118" t="s">
        <v>12</v>
      </c>
      <c r="D118" s="1">
        <f t="shared" si="1"/>
        <v>28.480000000000018</v>
      </c>
      <c r="E118">
        <v>2024</v>
      </c>
    </row>
    <row r="119" spans="1:5" x14ac:dyDescent="0.25">
      <c r="A119" t="s">
        <v>13</v>
      </c>
      <c r="B119">
        <v>4.7699999999999996</v>
      </c>
      <c r="C119" t="s">
        <v>14</v>
      </c>
      <c r="D119" s="1">
        <f t="shared" si="1"/>
        <v>-255.66</v>
      </c>
      <c r="E119">
        <v>2024</v>
      </c>
    </row>
    <row r="120" spans="1:5" x14ac:dyDescent="0.25">
      <c r="A120" t="s">
        <v>15</v>
      </c>
      <c r="B120">
        <v>241.48</v>
      </c>
      <c r="C120" t="s">
        <v>16</v>
      </c>
      <c r="D120" s="1">
        <f t="shared" si="1"/>
        <v>-13.04000000000002</v>
      </c>
      <c r="E120">
        <v>2024</v>
      </c>
    </row>
    <row r="121" spans="1:5" x14ac:dyDescent="0.25">
      <c r="A121" t="s">
        <v>17</v>
      </c>
      <c r="B121">
        <v>340.14</v>
      </c>
      <c r="C121" t="s">
        <v>7</v>
      </c>
      <c r="D121" s="1">
        <f t="shared" si="1"/>
        <v>91.429999999999978</v>
      </c>
      <c r="E121">
        <v>2024</v>
      </c>
    </row>
    <row r="122" spans="1:5" x14ac:dyDescent="0.25">
      <c r="A122" t="s">
        <v>18</v>
      </c>
      <c r="B122">
        <v>163.58000000000001</v>
      </c>
      <c r="C122" t="s">
        <v>10</v>
      </c>
      <c r="D122" s="1">
        <f t="shared" si="1"/>
        <v>-38.879999999999995</v>
      </c>
      <c r="E122">
        <v>2024</v>
      </c>
    </row>
    <row r="123" spans="1:5" x14ac:dyDescent="0.25">
      <c r="A123" t="s">
        <v>19</v>
      </c>
      <c r="B123">
        <v>218.7</v>
      </c>
      <c r="C123" t="s">
        <v>4</v>
      </c>
      <c r="D123" s="1">
        <f t="shared" si="1"/>
        <v>19.20999999999998</v>
      </c>
      <c r="E123">
        <v>2024</v>
      </c>
    </row>
    <row r="124" spans="1:5" x14ac:dyDescent="0.25">
      <c r="A124" t="s">
        <v>20</v>
      </c>
      <c r="B124">
        <v>157.63999999999999</v>
      </c>
      <c r="C124" t="s">
        <v>10</v>
      </c>
      <c r="D124" s="1">
        <f t="shared" si="1"/>
        <v>-29.870000000000005</v>
      </c>
      <c r="E124">
        <v>2024</v>
      </c>
    </row>
    <row r="125" spans="1:5" x14ac:dyDescent="0.25">
      <c r="A125" t="s">
        <v>21</v>
      </c>
      <c r="B125">
        <v>214.2</v>
      </c>
      <c r="C125" t="s">
        <v>7</v>
      </c>
      <c r="D125" s="1">
        <f t="shared" si="1"/>
        <v>28.78</v>
      </c>
      <c r="E125">
        <v>2024</v>
      </c>
    </row>
    <row r="126" spans="1:5" x14ac:dyDescent="0.25">
      <c r="A126" t="s">
        <v>22</v>
      </c>
      <c r="B126">
        <v>180.19</v>
      </c>
      <c r="C126" t="s">
        <v>4</v>
      </c>
      <c r="D126" s="1">
        <f t="shared" si="1"/>
        <v>3.3499999999999943</v>
      </c>
      <c r="E126">
        <v>2024</v>
      </c>
    </row>
    <row r="127" spans="1:5" x14ac:dyDescent="0.25">
      <c r="A127" t="s">
        <v>23</v>
      </c>
      <c r="B127">
        <v>223.6</v>
      </c>
      <c r="C127" t="s">
        <v>4</v>
      </c>
      <c r="D127" s="1">
        <f t="shared" si="1"/>
        <v>55.569999999999993</v>
      </c>
      <c r="E127">
        <v>2024</v>
      </c>
    </row>
    <row r="128" spans="1:5" x14ac:dyDescent="0.25">
      <c r="A128" t="s">
        <v>24</v>
      </c>
      <c r="B128">
        <v>201.44</v>
      </c>
      <c r="C128" t="s">
        <v>7</v>
      </c>
      <c r="D128" s="1">
        <f t="shared" si="1"/>
        <v>33.889999999999986</v>
      </c>
      <c r="E128">
        <v>2024</v>
      </c>
    </row>
    <row r="129" spans="1:5" x14ac:dyDescent="0.25">
      <c r="A129" t="s">
        <v>25</v>
      </c>
      <c r="B129">
        <v>178.83</v>
      </c>
      <c r="C129" t="s">
        <v>4</v>
      </c>
      <c r="D129" s="1">
        <f t="shared" si="1"/>
        <v>31.420000000000016</v>
      </c>
      <c r="E129">
        <v>2024</v>
      </c>
    </row>
    <row r="130" spans="1:5" x14ac:dyDescent="0.25">
      <c r="A130" t="s">
        <v>26</v>
      </c>
      <c r="B130">
        <v>142.63</v>
      </c>
      <c r="C130" t="s">
        <v>4</v>
      </c>
      <c r="D130" s="1">
        <f t="shared" si="1"/>
        <v>3.4900000000000091</v>
      </c>
      <c r="E130">
        <v>2024</v>
      </c>
    </row>
    <row r="131" spans="1:5" x14ac:dyDescent="0.25">
      <c r="A131" t="s">
        <v>27</v>
      </c>
      <c r="B131">
        <v>128.38</v>
      </c>
      <c r="C131" t="s">
        <v>7</v>
      </c>
      <c r="D131" s="1">
        <f t="shared" ref="D131:D194" si="2">B131-SUMIFS(B:B,E:E,E131-1,A:A,A131)</f>
        <v>12.14</v>
      </c>
      <c r="E131">
        <v>2024</v>
      </c>
    </row>
    <row r="132" spans="1:5" x14ac:dyDescent="0.25">
      <c r="A132" t="s">
        <v>28</v>
      </c>
      <c r="B132">
        <v>105.85</v>
      </c>
      <c r="C132" t="s">
        <v>29</v>
      </c>
      <c r="D132" s="1">
        <f t="shared" si="2"/>
        <v>-2.5700000000000074</v>
      </c>
      <c r="E132">
        <v>2024</v>
      </c>
    </row>
    <row r="133" spans="1:5" x14ac:dyDescent="0.25">
      <c r="A133" t="s">
        <v>30</v>
      </c>
      <c r="B133">
        <v>107.38</v>
      </c>
      <c r="C133" t="s">
        <v>29</v>
      </c>
      <c r="D133" s="1">
        <f t="shared" si="2"/>
        <v>0.29999999999999716</v>
      </c>
      <c r="E133">
        <v>2024</v>
      </c>
    </row>
    <row r="134" spans="1:5" x14ac:dyDescent="0.25">
      <c r="A134" t="s">
        <v>31</v>
      </c>
      <c r="B134">
        <v>100.4</v>
      </c>
      <c r="C134" t="s">
        <v>32</v>
      </c>
      <c r="D134" s="1">
        <f t="shared" si="2"/>
        <v>-6.0499999999999972</v>
      </c>
      <c r="E134">
        <v>2024</v>
      </c>
    </row>
    <row r="135" spans="1:5" x14ac:dyDescent="0.25">
      <c r="A135" t="s">
        <v>33</v>
      </c>
      <c r="B135">
        <v>110.4</v>
      </c>
      <c r="C135" t="s">
        <v>4</v>
      </c>
      <c r="D135" s="1">
        <f t="shared" si="2"/>
        <v>10.300000000000011</v>
      </c>
      <c r="E135">
        <v>2024</v>
      </c>
    </row>
    <row r="136" spans="1:5" x14ac:dyDescent="0.25">
      <c r="A136" t="s">
        <v>34</v>
      </c>
      <c r="B136">
        <v>114.7</v>
      </c>
      <c r="C136" t="s">
        <v>14</v>
      </c>
      <c r="D136" s="1">
        <f t="shared" si="2"/>
        <v>14.180000000000007</v>
      </c>
      <c r="E136">
        <v>2024</v>
      </c>
    </row>
    <row r="137" spans="1:5" x14ac:dyDescent="0.25">
      <c r="A137" t="s">
        <v>35</v>
      </c>
      <c r="B137">
        <v>91.53</v>
      </c>
      <c r="C137" t="s">
        <v>29</v>
      </c>
      <c r="D137" s="1">
        <f t="shared" si="2"/>
        <v>-4.6500000000000057</v>
      </c>
      <c r="E137">
        <v>2024</v>
      </c>
    </row>
    <row r="138" spans="1:5" x14ac:dyDescent="0.25">
      <c r="A138" t="s">
        <v>36</v>
      </c>
      <c r="B138">
        <v>95.87</v>
      </c>
      <c r="C138" t="s">
        <v>29</v>
      </c>
      <c r="D138" s="1">
        <f t="shared" si="2"/>
        <v>3.1700000000000017</v>
      </c>
      <c r="E138">
        <v>2024</v>
      </c>
    </row>
    <row r="139" spans="1:5" x14ac:dyDescent="0.25">
      <c r="A139" t="s">
        <v>37</v>
      </c>
      <c r="B139">
        <v>82.73</v>
      </c>
      <c r="C139" t="s">
        <v>29</v>
      </c>
      <c r="D139" s="1">
        <f t="shared" si="2"/>
        <v>-4.6499999999999915</v>
      </c>
      <c r="E139">
        <v>2024</v>
      </c>
    </row>
    <row r="140" spans="1:5" x14ac:dyDescent="0.25">
      <c r="A140" t="s">
        <v>38</v>
      </c>
      <c r="B140">
        <v>108.84</v>
      </c>
      <c r="C140" t="s">
        <v>7</v>
      </c>
      <c r="D140" s="1">
        <f t="shared" si="2"/>
        <v>25.64</v>
      </c>
      <c r="E140">
        <v>2024</v>
      </c>
    </row>
    <row r="141" spans="1:5" x14ac:dyDescent="0.25">
      <c r="A141" t="s">
        <v>39</v>
      </c>
      <c r="B141">
        <v>72.17</v>
      </c>
      <c r="C141" t="s">
        <v>29</v>
      </c>
      <c r="D141" s="1">
        <f t="shared" si="2"/>
        <v>-3.7999999999999972</v>
      </c>
      <c r="E141">
        <v>2024</v>
      </c>
    </row>
    <row r="142" spans="1:5" x14ac:dyDescent="0.25">
      <c r="A142" t="s">
        <v>40</v>
      </c>
      <c r="B142">
        <v>63.39</v>
      </c>
      <c r="C142" t="s">
        <v>4</v>
      </c>
      <c r="D142" s="1">
        <f t="shared" si="2"/>
        <v>-8.64</v>
      </c>
      <c r="E142">
        <v>2024</v>
      </c>
    </row>
    <row r="143" spans="1:5" x14ac:dyDescent="0.25">
      <c r="A143" t="s">
        <v>41</v>
      </c>
      <c r="B143">
        <v>58.09</v>
      </c>
      <c r="C143" t="s">
        <v>4</v>
      </c>
      <c r="D143" s="1">
        <f t="shared" si="2"/>
        <v>-11.920000000000002</v>
      </c>
      <c r="E143">
        <v>2024</v>
      </c>
    </row>
    <row r="144" spans="1:5" x14ac:dyDescent="0.25">
      <c r="A144" t="s">
        <v>42</v>
      </c>
      <c r="B144">
        <v>57.61</v>
      </c>
      <c r="C144" t="s">
        <v>29</v>
      </c>
      <c r="D144" s="1">
        <f t="shared" si="2"/>
        <v>-2.4600000000000009</v>
      </c>
      <c r="E144">
        <v>2024</v>
      </c>
    </row>
    <row r="145" spans="1:5" x14ac:dyDescent="0.25">
      <c r="A145" t="s">
        <v>43</v>
      </c>
      <c r="B145">
        <v>56.47</v>
      </c>
      <c r="C145" t="s">
        <v>29</v>
      </c>
      <c r="D145" s="1">
        <f t="shared" si="2"/>
        <v>-1.2199999999999989</v>
      </c>
      <c r="E145">
        <v>2024</v>
      </c>
    </row>
    <row r="146" spans="1:5" x14ac:dyDescent="0.25">
      <c r="A146" t="s">
        <v>44</v>
      </c>
      <c r="B146">
        <v>58.01</v>
      </c>
      <c r="C146" t="s">
        <v>14</v>
      </c>
      <c r="D146" s="1">
        <f t="shared" si="2"/>
        <v>0.58999999999999631</v>
      </c>
      <c r="E146">
        <v>2024</v>
      </c>
    </row>
    <row r="147" spans="1:5" x14ac:dyDescent="0.25">
      <c r="A147" t="s">
        <v>45</v>
      </c>
      <c r="B147">
        <v>53.58</v>
      </c>
      <c r="C147" t="s">
        <v>29</v>
      </c>
      <c r="D147" s="1">
        <f t="shared" si="2"/>
        <v>0.78000000000000114</v>
      </c>
      <c r="E147">
        <v>2024</v>
      </c>
    </row>
    <row r="148" spans="1:5" x14ac:dyDescent="0.25">
      <c r="A148" t="s">
        <v>46</v>
      </c>
      <c r="B148">
        <v>58.03</v>
      </c>
      <c r="C148" t="s">
        <v>4</v>
      </c>
      <c r="D148" s="1">
        <f t="shared" si="2"/>
        <v>12.5</v>
      </c>
      <c r="E148">
        <v>2024</v>
      </c>
    </row>
    <row r="149" spans="1:5" x14ac:dyDescent="0.25">
      <c r="A149" t="s">
        <v>47</v>
      </c>
      <c r="B149">
        <v>53.85</v>
      </c>
      <c r="C149" t="s">
        <v>48</v>
      </c>
      <c r="D149" s="1">
        <f t="shared" si="2"/>
        <v>9.25</v>
      </c>
      <c r="E149">
        <v>2024</v>
      </c>
    </row>
    <row r="150" spans="1:5" x14ac:dyDescent="0.25">
      <c r="A150" t="s">
        <v>49</v>
      </c>
      <c r="B150">
        <v>39.909999999999997</v>
      </c>
      <c r="C150" t="s">
        <v>29</v>
      </c>
      <c r="D150" s="1">
        <f t="shared" si="2"/>
        <v>-2.5500000000000043</v>
      </c>
      <c r="E150">
        <v>2024</v>
      </c>
    </row>
    <row r="151" spans="1:5" x14ac:dyDescent="0.25">
      <c r="A151" t="s">
        <v>50</v>
      </c>
      <c r="B151">
        <v>51.52</v>
      </c>
      <c r="C151" t="s">
        <v>32</v>
      </c>
      <c r="D151" s="1">
        <f t="shared" si="2"/>
        <v>9.3300000000000054</v>
      </c>
      <c r="E151">
        <v>2024</v>
      </c>
    </row>
    <row r="152" spans="1:5" x14ac:dyDescent="0.25">
      <c r="A152" t="s">
        <v>51</v>
      </c>
      <c r="B152">
        <v>53.91</v>
      </c>
      <c r="C152" t="s">
        <v>48</v>
      </c>
      <c r="D152" s="1">
        <f t="shared" si="2"/>
        <v>11.719999999999999</v>
      </c>
      <c r="E152">
        <v>2024</v>
      </c>
    </row>
    <row r="153" spans="1:5" x14ac:dyDescent="0.25">
      <c r="A153" t="s">
        <v>52</v>
      </c>
      <c r="B153">
        <v>39.78</v>
      </c>
      <c r="C153" t="s">
        <v>29</v>
      </c>
      <c r="D153" s="1">
        <f t="shared" si="2"/>
        <v>-1.9699999999999989</v>
      </c>
      <c r="E153">
        <v>2024</v>
      </c>
    </row>
    <row r="154" spans="1:5" x14ac:dyDescent="0.25">
      <c r="A154" t="s">
        <v>53</v>
      </c>
      <c r="B154">
        <v>51.31</v>
      </c>
      <c r="C154" t="s">
        <v>48</v>
      </c>
      <c r="D154" s="1">
        <f t="shared" si="2"/>
        <v>11.910000000000004</v>
      </c>
      <c r="E154">
        <v>2024</v>
      </c>
    </row>
    <row r="155" spans="1:5" x14ac:dyDescent="0.25">
      <c r="A155" t="s">
        <v>54</v>
      </c>
      <c r="B155">
        <v>45.18</v>
      </c>
      <c r="C155" t="s">
        <v>48</v>
      </c>
      <c r="D155" s="1">
        <f t="shared" si="2"/>
        <v>6.3500000000000014</v>
      </c>
      <c r="E155">
        <v>2024</v>
      </c>
    </row>
    <row r="156" spans="1:5" x14ac:dyDescent="0.25">
      <c r="A156" t="s">
        <v>55</v>
      </c>
      <c r="B156">
        <v>32.19</v>
      </c>
      <c r="C156" t="s">
        <v>14</v>
      </c>
      <c r="D156" s="1">
        <f t="shared" si="2"/>
        <v>-6.4600000000000009</v>
      </c>
      <c r="E156">
        <v>2024</v>
      </c>
    </row>
    <row r="157" spans="1:5" x14ac:dyDescent="0.25">
      <c r="A157" t="s">
        <v>56</v>
      </c>
      <c r="B157">
        <v>34.75</v>
      </c>
      <c r="C157" t="s">
        <v>29</v>
      </c>
      <c r="D157" s="1">
        <f t="shared" si="2"/>
        <v>-7.0000000000000284E-2</v>
      </c>
      <c r="E157">
        <v>2024</v>
      </c>
    </row>
    <row r="158" spans="1:5" x14ac:dyDescent="0.25">
      <c r="A158" t="s">
        <v>57</v>
      </c>
      <c r="B158">
        <v>32.36</v>
      </c>
      <c r="C158" t="s">
        <v>48</v>
      </c>
      <c r="D158" s="1">
        <f t="shared" si="2"/>
        <v>-0.98000000000000398</v>
      </c>
      <c r="E158">
        <v>2024</v>
      </c>
    </row>
    <row r="159" spans="1:5" x14ac:dyDescent="0.25">
      <c r="A159" t="s">
        <v>58</v>
      </c>
      <c r="B159">
        <v>23.23</v>
      </c>
      <c r="C159" t="s">
        <v>59</v>
      </c>
      <c r="D159" s="1">
        <f t="shared" si="2"/>
        <v>-9.8099999999999987</v>
      </c>
      <c r="E159">
        <v>2024</v>
      </c>
    </row>
    <row r="160" spans="1:5" x14ac:dyDescent="0.25">
      <c r="A160" t="s">
        <v>60</v>
      </c>
      <c r="B160">
        <v>40.47</v>
      </c>
      <c r="C160" t="s">
        <v>14</v>
      </c>
      <c r="D160" s="1">
        <f t="shared" si="2"/>
        <v>7.8799999999999955</v>
      </c>
      <c r="E160">
        <v>2024</v>
      </c>
    </row>
    <row r="161" spans="1:5" x14ac:dyDescent="0.25">
      <c r="A161" t="s">
        <v>61</v>
      </c>
      <c r="B161">
        <v>37.44</v>
      </c>
      <c r="C161" t="s">
        <v>48</v>
      </c>
      <c r="D161" s="1">
        <f t="shared" si="2"/>
        <v>5.0899999999999963</v>
      </c>
      <c r="E161">
        <v>2024</v>
      </c>
    </row>
    <row r="162" spans="1:5" x14ac:dyDescent="0.25">
      <c r="A162" t="s">
        <v>62</v>
      </c>
      <c r="B162">
        <v>37.47</v>
      </c>
      <c r="C162" t="s">
        <v>48</v>
      </c>
      <c r="D162" s="1">
        <f t="shared" si="2"/>
        <v>6.6499999999999986</v>
      </c>
      <c r="E162">
        <v>2024</v>
      </c>
    </row>
    <row r="163" spans="1:5" x14ac:dyDescent="0.25">
      <c r="A163" t="s">
        <v>63</v>
      </c>
      <c r="B163">
        <v>35.1</v>
      </c>
      <c r="C163" t="s">
        <v>48</v>
      </c>
      <c r="D163" s="1">
        <f t="shared" si="2"/>
        <v>4.2900000000000027</v>
      </c>
      <c r="E163">
        <v>2024</v>
      </c>
    </row>
    <row r="164" spans="1:5" x14ac:dyDescent="0.25">
      <c r="A164" t="s">
        <v>64</v>
      </c>
      <c r="B164">
        <v>42.55</v>
      </c>
      <c r="C164" t="s">
        <v>48</v>
      </c>
      <c r="D164" s="1">
        <f t="shared" si="2"/>
        <v>12.509999999999998</v>
      </c>
      <c r="E164">
        <v>2024</v>
      </c>
    </row>
    <row r="165" spans="1:5" x14ac:dyDescent="0.25">
      <c r="A165" t="s">
        <v>65</v>
      </c>
      <c r="B165">
        <v>33.07</v>
      </c>
      <c r="C165" t="s">
        <v>48</v>
      </c>
      <c r="D165" s="1">
        <f t="shared" si="2"/>
        <v>4.0599999999999987</v>
      </c>
      <c r="E165">
        <v>2024</v>
      </c>
    </row>
    <row r="166" spans="1:5" x14ac:dyDescent="0.25">
      <c r="A166" t="s">
        <v>66</v>
      </c>
      <c r="B166">
        <v>25.25</v>
      </c>
      <c r="C166" t="s">
        <v>29</v>
      </c>
      <c r="D166" s="1">
        <f t="shared" si="2"/>
        <v>-3.25</v>
      </c>
      <c r="E166">
        <v>2024</v>
      </c>
    </row>
    <row r="167" spans="1:5" x14ac:dyDescent="0.25">
      <c r="A167" t="s">
        <v>67</v>
      </c>
      <c r="B167">
        <v>29.18</v>
      </c>
      <c r="C167" t="s">
        <v>48</v>
      </c>
      <c r="D167" s="1">
        <f t="shared" si="2"/>
        <v>2.509999999999998</v>
      </c>
      <c r="E167">
        <v>2024</v>
      </c>
    </row>
    <row r="168" spans="1:5" x14ac:dyDescent="0.25">
      <c r="A168" t="s">
        <v>68</v>
      </c>
      <c r="B168">
        <v>22.8</v>
      </c>
      <c r="C168" t="s">
        <v>48</v>
      </c>
      <c r="D168" s="1">
        <f t="shared" si="2"/>
        <v>-2</v>
      </c>
      <c r="E168">
        <v>2024</v>
      </c>
    </row>
    <row r="169" spans="1:5" x14ac:dyDescent="0.25">
      <c r="A169" t="s">
        <v>69</v>
      </c>
      <c r="B169">
        <v>23.68</v>
      </c>
      <c r="C169" t="s">
        <v>29</v>
      </c>
      <c r="D169" s="1">
        <f t="shared" si="2"/>
        <v>-1.0800000000000018</v>
      </c>
      <c r="E169">
        <v>2024</v>
      </c>
    </row>
    <row r="170" spans="1:5" x14ac:dyDescent="0.25">
      <c r="A170" t="s">
        <v>70</v>
      </c>
      <c r="B170">
        <v>22.77</v>
      </c>
      <c r="C170" t="s">
        <v>29</v>
      </c>
      <c r="D170" s="1">
        <f t="shared" si="2"/>
        <v>-0.80999999999999872</v>
      </c>
      <c r="E170">
        <v>2024</v>
      </c>
    </row>
    <row r="171" spans="1:5" x14ac:dyDescent="0.25">
      <c r="A171" t="s">
        <v>71</v>
      </c>
      <c r="B171">
        <v>67.87</v>
      </c>
      <c r="C171" t="s">
        <v>48</v>
      </c>
      <c r="D171" s="1">
        <f t="shared" si="2"/>
        <v>44.42</v>
      </c>
      <c r="E171">
        <v>2024</v>
      </c>
    </row>
    <row r="172" spans="1:5" x14ac:dyDescent="0.25">
      <c r="A172" t="s">
        <v>72</v>
      </c>
      <c r="B172">
        <v>21.75</v>
      </c>
      <c r="C172" t="s">
        <v>29</v>
      </c>
      <c r="D172" s="1">
        <f t="shared" si="2"/>
        <v>-0.80000000000000071</v>
      </c>
      <c r="E172">
        <v>2024</v>
      </c>
    </row>
    <row r="173" spans="1:5" x14ac:dyDescent="0.25">
      <c r="A173" t="s">
        <v>73</v>
      </c>
      <c r="B173">
        <v>28.24</v>
      </c>
      <c r="C173" t="s">
        <v>48</v>
      </c>
      <c r="D173" s="1">
        <f t="shared" si="2"/>
        <v>5.7899999999999991</v>
      </c>
      <c r="E173">
        <v>2024</v>
      </c>
    </row>
    <row r="174" spans="1:5" x14ac:dyDescent="0.25">
      <c r="A174" t="s">
        <v>74</v>
      </c>
      <c r="B174">
        <v>18.61</v>
      </c>
      <c r="C174" t="s">
        <v>14</v>
      </c>
      <c r="D174" s="1">
        <f t="shared" si="2"/>
        <v>-3.120000000000001</v>
      </c>
      <c r="E174">
        <v>2024</v>
      </c>
    </row>
    <row r="175" spans="1:5" x14ac:dyDescent="0.25">
      <c r="A175" t="s">
        <v>75</v>
      </c>
      <c r="B175">
        <v>29.67</v>
      </c>
      <c r="C175" t="s">
        <v>48</v>
      </c>
      <c r="D175" s="1">
        <f t="shared" si="2"/>
        <v>9.25</v>
      </c>
      <c r="E175">
        <v>2024</v>
      </c>
    </row>
    <row r="176" spans="1:5" x14ac:dyDescent="0.25">
      <c r="A176" t="s">
        <v>76</v>
      </c>
      <c r="B176">
        <v>24.2</v>
      </c>
      <c r="C176" t="s">
        <v>48</v>
      </c>
      <c r="D176" s="1">
        <f t="shared" si="2"/>
        <v>4.1999999999999993</v>
      </c>
      <c r="E176">
        <v>2024</v>
      </c>
    </row>
    <row r="177" spans="1:5" x14ac:dyDescent="0.25">
      <c r="A177" t="s">
        <v>77</v>
      </c>
      <c r="B177">
        <v>16.309999999999999</v>
      </c>
      <c r="C177" t="s">
        <v>48</v>
      </c>
      <c r="D177" s="1">
        <f t="shared" si="2"/>
        <v>-3.1300000000000026</v>
      </c>
      <c r="E177">
        <v>2024</v>
      </c>
    </row>
    <row r="178" spans="1:5" x14ac:dyDescent="0.25">
      <c r="A178" t="s">
        <v>78</v>
      </c>
      <c r="B178">
        <v>28.54</v>
      </c>
      <c r="C178" t="s">
        <v>48</v>
      </c>
      <c r="D178" s="1">
        <f t="shared" si="2"/>
        <v>9.84</v>
      </c>
      <c r="E178">
        <v>2024</v>
      </c>
    </row>
    <row r="179" spans="1:5" x14ac:dyDescent="0.25">
      <c r="A179" t="s">
        <v>79</v>
      </c>
      <c r="B179">
        <v>16.57</v>
      </c>
      <c r="C179" t="s">
        <v>29</v>
      </c>
      <c r="D179" s="1">
        <f t="shared" si="2"/>
        <v>-1.0300000000000011</v>
      </c>
      <c r="E179">
        <v>2024</v>
      </c>
    </row>
    <row r="180" spans="1:5" x14ac:dyDescent="0.25">
      <c r="A180" t="s">
        <v>80</v>
      </c>
      <c r="B180">
        <v>7.73</v>
      </c>
      <c r="C180" t="s">
        <v>48</v>
      </c>
      <c r="D180" s="1">
        <f t="shared" si="2"/>
        <v>-7.6399999999999988</v>
      </c>
      <c r="E180">
        <v>2024</v>
      </c>
    </row>
    <row r="181" spans="1:5" x14ac:dyDescent="0.25">
      <c r="A181" t="s">
        <v>81</v>
      </c>
      <c r="B181">
        <v>17.87</v>
      </c>
      <c r="C181" t="s">
        <v>48</v>
      </c>
      <c r="D181" s="1">
        <f t="shared" si="2"/>
        <v>2.7500000000000018</v>
      </c>
      <c r="E181">
        <v>2024</v>
      </c>
    </row>
    <row r="182" spans="1:5" x14ac:dyDescent="0.25">
      <c r="A182" t="s">
        <v>82</v>
      </c>
      <c r="B182">
        <v>15.73</v>
      </c>
      <c r="C182" t="s">
        <v>48</v>
      </c>
      <c r="D182" s="1">
        <f t="shared" si="2"/>
        <v>0.67999999999999972</v>
      </c>
      <c r="E182">
        <v>2024</v>
      </c>
    </row>
    <row r="183" spans="1:5" x14ac:dyDescent="0.25">
      <c r="A183" t="s">
        <v>83</v>
      </c>
      <c r="B183">
        <v>16.45</v>
      </c>
      <c r="C183" t="s">
        <v>48</v>
      </c>
      <c r="D183" s="1">
        <f t="shared" si="2"/>
        <v>2.1199999999999992</v>
      </c>
      <c r="E183">
        <v>2024</v>
      </c>
    </row>
    <row r="184" spans="1:5" x14ac:dyDescent="0.25">
      <c r="A184" t="s">
        <v>84</v>
      </c>
      <c r="B184">
        <v>14.5</v>
      </c>
      <c r="C184" t="s">
        <v>48</v>
      </c>
      <c r="D184" s="1">
        <f t="shared" si="2"/>
        <v>1.2200000000000006</v>
      </c>
      <c r="E184">
        <v>2024</v>
      </c>
    </row>
    <row r="185" spans="1:5" x14ac:dyDescent="0.25">
      <c r="A185" t="s">
        <v>85</v>
      </c>
      <c r="B185">
        <v>12.75</v>
      </c>
      <c r="C185" t="s">
        <v>29</v>
      </c>
      <c r="D185" s="1">
        <f t="shared" si="2"/>
        <v>-0.24000000000000021</v>
      </c>
      <c r="E185">
        <v>2024</v>
      </c>
    </row>
    <row r="186" spans="1:5" x14ac:dyDescent="0.25">
      <c r="A186" t="s">
        <v>86</v>
      </c>
      <c r="B186">
        <v>14.11</v>
      </c>
      <c r="C186" t="s">
        <v>48</v>
      </c>
      <c r="D186" s="1">
        <f t="shared" si="2"/>
        <v>1.5099999999999998</v>
      </c>
      <c r="E186">
        <v>2024</v>
      </c>
    </row>
    <row r="187" spans="1:5" x14ac:dyDescent="0.25">
      <c r="A187" t="s">
        <v>87</v>
      </c>
      <c r="B187">
        <v>14.51</v>
      </c>
      <c r="C187" t="s">
        <v>4</v>
      </c>
      <c r="D187" s="1">
        <f t="shared" si="2"/>
        <v>2.2999999999999989</v>
      </c>
      <c r="E187">
        <v>2024</v>
      </c>
    </row>
    <row r="188" spans="1:5" x14ac:dyDescent="0.25">
      <c r="A188" t="s">
        <v>88</v>
      </c>
      <c r="B188">
        <v>22.88</v>
      </c>
      <c r="C188" t="s">
        <v>4</v>
      </c>
      <c r="D188" s="1">
        <f t="shared" si="2"/>
        <v>12.6</v>
      </c>
      <c r="E188">
        <v>2024</v>
      </c>
    </row>
    <row r="189" spans="1:5" x14ac:dyDescent="0.25">
      <c r="A189" t="s">
        <v>89</v>
      </c>
      <c r="B189">
        <v>8.83</v>
      </c>
      <c r="C189" t="s">
        <v>48</v>
      </c>
      <c r="D189" s="1">
        <f t="shared" si="2"/>
        <v>-0.6899999999999995</v>
      </c>
      <c r="E189">
        <v>2024</v>
      </c>
    </row>
    <row r="190" spans="1:5" x14ac:dyDescent="0.25">
      <c r="A190" t="s">
        <v>90</v>
      </c>
      <c r="B190">
        <v>30.46</v>
      </c>
      <c r="C190" t="s">
        <v>59</v>
      </c>
      <c r="D190" s="1">
        <f t="shared" si="2"/>
        <v>21.46</v>
      </c>
      <c r="E190">
        <v>2024</v>
      </c>
    </row>
    <row r="191" spans="1:5" x14ac:dyDescent="0.25">
      <c r="A191" t="s">
        <v>91</v>
      </c>
      <c r="B191">
        <v>11.89</v>
      </c>
      <c r="C191" t="s">
        <v>48</v>
      </c>
      <c r="D191" s="1">
        <f t="shared" si="2"/>
        <v>3.0700000000000003</v>
      </c>
      <c r="E191">
        <v>2024</v>
      </c>
    </row>
    <row r="192" spans="1:5" x14ac:dyDescent="0.25">
      <c r="A192" t="s">
        <v>92</v>
      </c>
      <c r="B192">
        <v>8.6999999999999993</v>
      </c>
      <c r="C192" t="s">
        <v>48</v>
      </c>
      <c r="D192" s="1">
        <f t="shared" si="2"/>
        <v>0.47999999999999865</v>
      </c>
      <c r="E192">
        <v>2024</v>
      </c>
    </row>
    <row r="193" spans="1:5" x14ac:dyDescent="0.25">
      <c r="A193" t="s">
        <v>93</v>
      </c>
      <c r="B193">
        <v>12.59</v>
      </c>
      <c r="C193" t="s">
        <v>48</v>
      </c>
      <c r="D193" s="1">
        <f t="shared" si="2"/>
        <v>4.5600000000000005</v>
      </c>
      <c r="E193">
        <v>2024</v>
      </c>
    </row>
    <row r="194" spans="1:5" x14ac:dyDescent="0.25">
      <c r="A194" t="s">
        <v>94</v>
      </c>
      <c r="B194">
        <v>9.4700000000000006</v>
      </c>
      <c r="C194" t="s">
        <v>48</v>
      </c>
      <c r="D194" s="1">
        <f t="shared" si="2"/>
        <v>1.9500000000000011</v>
      </c>
      <c r="E194">
        <v>2024</v>
      </c>
    </row>
    <row r="195" spans="1:5" x14ac:dyDescent="0.25">
      <c r="A195" t="s">
        <v>95</v>
      </c>
      <c r="B195">
        <v>4.8899999999999997</v>
      </c>
      <c r="C195" t="s">
        <v>48</v>
      </c>
      <c r="D195" s="1">
        <f t="shared" ref="D195:D258" si="3">B195-SUMIFS(B:B,E:E,E195-1,A:A,A195)</f>
        <v>-2.4400000000000004</v>
      </c>
      <c r="E195">
        <v>2024</v>
      </c>
    </row>
    <row r="196" spans="1:5" x14ac:dyDescent="0.25">
      <c r="A196" t="s">
        <v>96</v>
      </c>
      <c r="B196">
        <v>13.94</v>
      </c>
      <c r="C196" t="s">
        <v>48</v>
      </c>
      <c r="D196" s="1">
        <f t="shared" si="3"/>
        <v>6.68</v>
      </c>
      <c r="E196">
        <v>2024</v>
      </c>
    </row>
    <row r="197" spans="1:5" x14ac:dyDescent="0.25">
      <c r="A197" t="s">
        <v>97</v>
      </c>
      <c r="B197">
        <v>7.58</v>
      </c>
      <c r="C197" t="s">
        <v>48</v>
      </c>
      <c r="D197" s="1">
        <f t="shared" si="3"/>
        <v>1.0700000000000003</v>
      </c>
      <c r="E197">
        <v>2024</v>
      </c>
    </row>
    <row r="198" spans="1:5" x14ac:dyDescent="0.25">
      <c r="A198" t="s">
        <v>98</v>
      </c>
      <c r="B198">
        <v>6.53</v>
      </c>
      <c r="C198" t="s">
        <v>48</v>
      </c>
      <c r="D198" s="1">
        <f t="shared" si="3"/>
        <v>0.37000000000000011</v>
      </c>
      <c r="E198">
        <v>2024</v>
      </c>
    </row>
    <row r="199" spans="1:5" x14ac:dyDescent="0.25">
      <c r="A199" t="s">
        <v>99</v>
      </c>
      <c r="B199">
        <v>4.91</v>
      </c>
      <c r="C199" t="s">
        <v>14</v>
      </c>
      <c r="D199" s="1">
        <f t="shared" si="3"/>
        <v>-0.37000000000000011</v>
      </c>
      <c r="E199">
        <v>2024</v>
      </c>
    </row>
    <row r="200" spans="1:5" x14ac:dyDescent="0.25">
      <c r="A200" t="s">
        <v>100</v>
      </c>
      <c r="B200">
        <v>6.13</v>
      </c>
      <c r="C200" t="s">
        <v>14</v>
      </c>
      <c r="D200" s="1">
        <f t="shared" si="3"/>
        <v>0.86000000000000032</v>
      </c>
      <c r="E200">
        <v>2024</v>
      </c>
    </row>
    <row r="201" spans="1:5" x14ac:dyDescent="0.25">
      <c r="A201" t="s">
        <v>101</v>
      </c>
      <c r="B201">
        <v>4.2300000000000004</v>
      </c>
      <c r="C201" t="s">
        <v>59</v>
      </c>
      <c r="D201" s="1">
        <f t="shared" si="3"/>
        <v>9.0000000000000746E-2</v>
      </c>
      <c r="E201">
        <v>2024</v>
      </c>
    </row>
    <row r="202" spans="1:5" x14ac:dyDescent="0.25">
      <c r="A202" t="s">
        <v>102</v>
      </c>
      <c r="B202">
        <v>3.83</v>
      </c>
      <c r="C202" t="s">
        <v>48</v>
      </c>
      <c r="D202" s="1">
        <f t="shared" si="3"/>
        <v>4.0000000000000036E-2</v>
      </c>
      <c r="E202">
        <v>2024</v>
      </c>
    </row>
    <row r="203" spans="1:5" x14ac:dyDescent="0.25">
      <c r="A203" t="s">
        <v>103</v>
      </c>
      <c r="B203">
        <v>4.51</v>
      </c>
      <c r="C203" t="s">
        <v>48</v>
      </c>
      <c r="D203" s="1">
        <f t="shared" si="3"/>
        <v>0.82999999999999963</v>
      </c>
      <c r="E203">
        <v>2024</v>
      </c>
    </row>
    <row r="204" spans="1:5" x14ac:dyDescent="0.25">
      <c r="A204" t="s">
        <v>104</v>
      </c>
      <c r="B204">
        <v>5.17</v>
      </c>
      <c r="C204" t="s">
        <v>48</v>
      </c>
      <c r="D204" s="1">
        <f t="shared" si="3"/>
        <v>1.5899999999999999</v>
      </c>
      <c r="E204">
        <v>2024</v>
      </c>
    </row>
    <row r="205" spans="1:5" x14ac:dyDescent="0.25">
      <c r="A205" t="s">
        <v>105</v>
      </c>
      <c r="B205">
        <v>2.5299999999999998</v>
      </c>
      <c r="C205" t="s">
        <v>48</v>
      </c>
      <c r="D205" s="1">
        <f t="shared" si="3"/>
        <v>-1</v>
      </c>
      <c r="E205">
        <v>2024</v>
      </c>
    </row>
    <row r="206" spans="1:5" x14ac:dyDescent="0.25">
      <c r="A206" t="s">
        <v>106</v>
      </c>
      <c r="B206">
        <v>2.34</v>
      </c>
      <c r="C206" t="s">
        <v>48</v>
      </c>
      <c r="D206" s="1">
        <f t="shared" si="3"/>
        <v>-0.76000000000000023</v>
      </c>
      <c r="E206">
        <v>2024</v>
      </c>
    </row>
    <row r="207" spans="1:5" x14ac:dyDescent="0.25">
      <c r="A207" t="s">
        <v>107</v>
      </c>
      <c r="B207">
        <v>2.9</v>
      </c>
      <c r="C207" t="s">
        <v>48</v>
      </c>
      <c r="D207" s="1">
        <f t="shared" si="3"/>
        <v>0.31000000000000005</v>
      </c>
      <c r="E207">
        <v>2024</v>
      </c>
    </row>
    <row r="208" spans="1:5" x14ac:dyDescent="0.25">
      <c r="A208" t="s">
        <v>108</v>
      </c>
      <c r="B208">
        <v>2.77</v>
      </c>
      <c r="C208" t="s">
        <v>4</v>
      </c>
      <c r="D208" s="1">
        <f t="shared" si="3"/>
        <v>0.41999999999999993</v>
      </c>
      <c r="E208">
        <v>2024</v>
      </c>
    </row>
    <row r="209" spans="1:5" x14ac:dyDescent="0.25">
      <c r="A209" t="s">
        <v>109</v>
      </c>
      <c r="B209">
        <v>1.49</v>
      </c>
      <c r="C209" t="s">
        <v>48</v>
      </c>
      <c r="D209" s="1">
        <f t="shared" si="3"/>
        <v>0.1100000000000001</v>
      </c>
      <c r="E209">
        <v>2024</v>
      </c>
    </row>
    <row r="210" spans="1:5" x14ac:dyDescent="0.25">
      <c r="A210" t="s">
        <v>110</v>
      </c>
      <c r="B210">
        <v>17.79</v>
      </c>
      <c r="C210" t="s">
        <v>4</v>
      </c>
      <c r="D210" s="1">
        <f t="shared" si="3"/>
        <v>16.5</v>
      </c>
      <c r="E210">
        <v>2024</v>
      </c>
    </row>
    <row r="211" spans="1:5" x14ac:dyDescent="0.25">
      <c r="A211" t="s">
        <v>111</v>
      </c>
      <c r="B211">
        <v>0.05</v>
      </c>
      <c r="C211" t="s">
        <v>14</v>
      </c>
      <c r="D211" s="1">
        <f t="shared" si="3"/>
        <v>-1.03</v>
      </c>
      <c r="E211">
        <v>2024</v>
      </c>
    </row>
    <row r="212" spans="1:5" x14ac:dyDescent="0.25">
      <c r="A212" t="s">
        <v>112</v>
      </c>
      <c r="B212">
        <v>0.69</v>
      </c>
      <c r="C212" t="s">
        <v>14</v>
      </c>
      <c r="D212" s="1">
        <f t="shared" si="3"/>
        <v>0.21999999999999997</v>
      </c>
      <c r="E212">
        <v>2024</v>
      </c>
    </row>
    <row r="213" spans="1:5" x14ac:dyDescent="0.25">
      <c r="A213" t="s">
        <v>113</v>
      </c>
      <c r="B213">
        <v>0.75</v>
      </c>
      <c r="C213" t="s">
        <v>59</v>
      </c>
      <c r="D213" s="1">
        <f t="shared" si="3"/>
        <v>0.46</v>
      </c>
      <c r="E213">
        <v>2024</v>
      </c>
    </row>
    <row r="214" spans="1:5" x14ac:dyDescent="0.25">
      <c r="A214" t="s">
        <v>114</v>
      </c>
      <c r="B214">
        <v>0.17</v>
      </c>
      <c r="C214" t="s">
        <v>14</v>
      </c>
      <c r="D214" s="1">
        <f t="shared" si="3"/>
        <v>0</v>
      </c>
      <c r="E214">
        <v>2024</v>
      </c>
    </row>
    <row r="215" spans="1:5" x14ac:dyDescent="0.25">
      <c r="A215" t="s">
        <v>115</v>
      </c>
      <c r="B215">
        <v>0.1</v>
      </c>
      <c r="C215" t="s">
        <v>48</v>
      </c>
      <c r="D215" s="1">
        <f t="shared" si="3"/>
        <v>0</v>
      </c>
      <c r="E215">
        <v>2024</v>
      </c>
    </row>
    <row r="216" spans="1:5" x14ac:dyDescent="0.25">
      <c r="A216" t="s">
        <v>116</v>
      </c>
      <c r="B216">
        <v>0.02</v>
      </c>
      <c r="C216" t="s">
        <v>48</v>
      </c>
      <c r="D216" s="1">
        <f t="shared" si="3"/>
        <v>0</v>
      </c>
      <c r="E216">
        <v>2024</v>
      </c>
    </row>
    <row r="217" spans="1:5" x14ac:dyDescent="0.25">
      <c r="A217" t="s">
        <v>118</v>
      </c>
      <c r="B217">
        <v>42.92</v>
      </c>
      <c r="C217" t="s">
        <v>59</v>
      </c>
      <c r="D217" s="1">
        <f t="shared" si="3"/>
        <v>0</v>
      </c>
      <c r="E217">
        <v>2024</v>
      </c>
    </row>
    <row r="218" spans="1:5" x14ac:dyDescent="0.25">
      <c r="A218" t="s">
        <v>119</v>
      </c>
      <c r="B218">
        <v>36.56</v>
      </c>
      <c r="C218" t="s">
        <v>29</v>
      </c>
      <c r="D218" s="1">
        <f t="shared" si="3"/>
        <v>0</v>
      </c>
      <c r="E218">
        <v>2024</v>
      </c>
    </row>
    <row r="219" spans="1:5" x14ac:dyDescent="0.25">
      <c r="A219" t="s">
        <v>120</v>
      </c>
      <c r="B219">
        <v>26.71</v>
      </c>
      <c r="C219" t="s">
        <v>59</v>
      </c>
      <c r="D219" s="1">
        <f t="shared" si="3"/>
        <v>0</v>
      </c>
      <c r="E219">
        <v>2024</v>
      </c>
    </row>
    <row r="220" spans="1:5" x14ac:dyDescent="0.25">
      <c r="A220" t="s">
        <v>121</v>
      </c>
      <c r="B220">
        <v>18.12</v>
      </c>
      <c r="C220" t="s">
        <v>59</v>
      </c>
      <c r="D220" s="1">
        <f t="shared" si="3"/>
        <v>0</v>
      </c>
      <c r="E220">
        <v>2024</v>
      </c>
    </row>
    <row r="221" spans="1:5" x14ac:dyDescent="0.25">
      <c r="A221" t="s">
        <v>122</v>
      </c>
      <c r="B221">
        <v>13.96</v>
      </c>
      <c r="C221" t="s">
        <v>4</v>
      </c>
      <c r="D221" s="1">
        <f t="shared" si="3"/>
        <v>0</v>
      </c>
      <c r="E221">
        <v>2024</v>
      </c>
    </row>
    <row r="222" spans="1:5" x14ac:dyDescent="0.25">
      <c r="A222" t="s">
        <v>123</v>
      </c>
      <c r="B222">
        <v>4.92</v>
      </c>
      <c r="C222" t="s">
        <v>29</v>
      </c>
      <c r="D222" s="1">
        <f t="shared" si="3"/>
        <v>0</v>
      </c>
      <c r="E222">
        <v>2024</v>
      </c>
    </row>
    <row r="223" spans="1:5" x14ac:dyDescent="0.25">
      <c r="A223" t="s">
        <v>124</v>
      </c>
      <c r="B223">
        <v>1.29</v>
      </c>
      <c r="C223" t="s">
        <v>59</v>
      </c>
      <c r="D223" s="1">
        <f t="shared" si="3"/>
        <v>0</v>
      </c>
      <c r="E223">
        <v>2024</v>
      </c>
    </row>
    <row r="224" spans="1:5" x14ac:dyDescent="0.25">
      <c r="A224" t="s">
        <v>3</v>
      </c>
      <c r="B224" s="1">
        <v>1463.97</v>
      </c>
      <c r="C224" t="s">
        <v>4</v>
      </c>
      <c r="D224" s="1">
        <f t="shared" si="3"/>
        <v>-244.01</v>
      </c>
      <c r="E224">
        <v>2025</v>
      </c>
    </row>
    <row r="225" spans="1:5" x14ac:dyDescent="0.25">
      <c r="A225" t="s">
        <v>5</v>
      </c>
      <c r="B225" s="1">
        <v>1191.8800000000001</v>
      </c>
      <c r="C225" t="s">
        <v>4</v>
      </c>
      <c r="D225" s="1">
        <f t="shared" si="3"/>
        <v>-240.33999999999992</v>
      </c>
      <c r="E225">
        <v>2025</v>
      </c>
    </row>
    <row r="226" spans="1:5" x14ac:dyDescent="0.25">
      <c r="A226" t="s">
        <v>6</v>
      </c>
      <c r="B226" s="1">
        <v>1570.23</v>
      </c>
      <c r="C226" t="s">
        <v>7</v>
      </c>
      <c r="D226" s="1">
        <f t="shared" si="3"/>
        <v>91.480000000000018</v>
      </c>
      <c r="E226">
        <v>2025</v>
      </c>
    </row>
    <row r="227" spans="1:5" x14ac:dyDescent="0.25">
      <c r="A227" t="s">
        <v>8</v>
      </c>
      <c r="B227">
        <v>336.75</v>
      </c>
      <c r="C227" t="s">
        <v>7</v>
      </c>
      <c r="D227" s="1">
        <f t="shared" si="3"/>
        <v>-132.54000000000002</v>
      </c>
      <c r="E227">
        <v>2025</v>
      </c>
    </row>
    <row r="228" spans="1:5" x14ac:dyDescent="0.25">
      <c r="A228" t="s">
        <v>9</v>
      </c>
      <c r="B228">
        <v>366.31</v>
      </c>
      <c r="C228" t="s">
        <v>10</v>
      </c>
      <c r="D228" s="1">
        <f t="shared" si="3"/>
        <v>23.470000000000027</v>
      </c>
      <c r="E228">
        <v>2025</v>
      </c>
    </row>
    <row r="229" spans="1:5" x14ac:dyDescent="0.25">
      <c r="A229" t="s">
        <v>11</v>
      </c>
      <c r="B229">
        <v>294.04000000000002</v>
      </c>
      <c r="C229" t="s">
        <v>12</v>
      </c>
      <c r="D229" s="1">
        <f t="shared" si="3"/>
        <v>-64.069999999999993</v>
      </c>
      <c r="E229">
        <v>2025</v>
      </c>
    </row>
    <row r="230" spans="1:5" x14ac:dyDescent="0.25">
      <c r="A230" t="s">
        <v>13</v>
      </c>
      <c r="B230">
        <v>178.15</v>
      </c>
      <c r="C230" t="s">
        <v>14</v>
      </c>
      <c r="D230" s="1">
        <f t="shared" si="3"/>
        <v>173.38</v>
      </c>
      <c r="E230">
        <v>2025</v>
      </c>
    </row>
    <row r="231" spans="1:5" x14ac:dyDescent="0.25">
      <c r="A231" t="s">
        <v>15</v>
      </c>
      <c r="B231">
        <v>206.06</v>
      </c>
      <c r="C231" t="s">
        <v>16</v>
      </c>
      <c r="D231" s="1">
        <f t="shared" si="3"/>
        <v>-35.419999999999987</v>
      </c>
      <c r="E231">
        <v>2025</v>
      </c>
    </row>
    <row r="232" spans="1:5" x14ac:dyDescent="0.25">
      <c r="A232" t="s">
        <v>17</v>
      </c>
      <c r="B232">
        <v>273.39</v>
      </c>
      <c r="C232" t="s">
        <v>7</v>
      </c>
      <c r="D232" s="1">
        <f t="shared" si="3"/>
        <v>-66.75</v>
      </c>
      <c r="E232">
        <v>2025</v>
      </c>
    </row>
    <row r="233" spans="1:5" x14ac:dyDescent="0.25">
      <c r="A233" t="s">
        <v>18</v>
      </c>
      <c r="B233">
        <v>192.16</v>
      </c>
      <c r="C233" t="s">
        <v>10</v>
      </c>
      <c r="D233" s="1">
        <f t="shared" si="3"/>
        <v>28.579999999999984</v>
      </c>
      <c r="E233">
        <v>2025</v>
      </c>
    </row>
    <row r="234" spans="1:5" x14ac:dyDescent="0.25">
      <c r="A234" t="s">
        <v>19</v>
      </c>
      <c r="B234">
        <v>124.09</v>
      </c>
      <c r="C234" t="s">
        <v>4</v>
      </c>
      <c r="D234" s="1">
        <f t="shared" si="3"/>
        <v>-94.609999999999985</v>
      </c>
      <c r="E234">
        <v>2025</v>
      </c>
    </row>
    <row r="235" spans="1:5" x14ac:dyDescent="0.25">
      <c r="A235" t="s">
        <v>20</v>
      </c>
      <c r="B235">
        <v>181.23</v>
      </c>
      <c r="C235" t="s">
        <v>10</v>
      </c>
      <c r="D235" s="1">
        <f t="shared" si="3"/>
        <v>23.590000000000003</v>
      </c>
      <c r="E235">
        <v>2025</v>
      </c>
    </row>
    <row r="236" spans="1:5" x14ac:dyDescent="0.25">
      <c r="A236" t="s">
        <v>21</v>
      </c>
      <c r="B236">
        <v>218.36</v>
      </c>
      <c r="C236" t="s">
        <v>7</v>
      </c>
      <c r="D236" s="1">
        <f t="shared" si="3"/>
        <v>4.160000000000025</v>
      </c>
      <c r="E236">
        <v>2025</v>
      </c>
    </row>
    <row r="237" spans="1:5" x14ac:dyDescent="0.25">
      <c r="A237" t="s">
        <v>22</v>
      </c>
      <c r="B237">
        <v>92.61</v>
      </c>
      <c r="C237" t="s">
        <v>4</v>
      </c>
      <c r="D237" s="1">
        <f t="shared" si="3"/>
        <v>-87.58</v>
      </c>
      <c r="E237">
        <v>2025</v>
      </c>
    </row>
    <row r="238" spans="1:5" x14ac:dyDescent="0.25">
      <c r="A238" t="s">
        <v>23</v>
      </c>
      <c r="B238">
        <v>89.66</v>
      </c>
      <c r="C238" t="s">
        <v>4</v>
      </c>
      <c r="D238" s="1">
        <f t="shared" si="3"/>
        <v>-133.94</v>
      </c>
      <c r="E238">
        <v>2025</v>
      </c>
    </row>
    <row r="239" spans="1:5" x14ac:dyDescent="0.25">
      <c r="A239" t="s">
        <v>24</v>
      </c>
      <c r="B239">
        <v>174.7</v>
      </c>
      <c r="C239" t="s">
        <v>7</v>
      </c>
      <c r="D239" s="1">
        <f t="shared" si="3"/>
        <v>-26.740000000000009</v>
      </c>
      <c r="E239">
        <v>2025</v>
      </c>
    </row>
    <row r="240" spans="1:5" x14ac:dyDescent="0.25">
      <c r="A240" t="s">
        <v>25</v>
      </c>
      <c r="B240">
        <v>168.85</v>
      </c>
      <c r="C240" t="s">
        <v>4</v>
      </c>
      <c r="D240" s="1">
        <f t="shared" si="3"/>
        <v>-9.9800000000000182</v>
      </c>
      <c r="E240">
        <v>2025</v>
      </c>
    </row>
    <row r="241" spans="1:5" x14ac:dyDescent="0.25">
      <c r="A241" t="s">
        <v>26</v>
      </c>
      <c r="B241">
        <v>104.34</v>
      </c>
      <c r="C241" t="s">
        <v>4</v>
      </c>
      <c r="D241" s="1">
        <f t="shared" si="3"/>
        <v>-38.289999999999992</v>
      </c>
      <c r="E241">
        <v>2025</v>
      </c>
    </row>
    <row r="242" spans="1:5" x14ac:dyDescent="0.25">
      <c r="A242" t="s">
        <v>27</v>
      </c>
      <c r="B242">
        <v>98.17</v>
      </c>
      <c r="C242" t="s">
        <v>7</v>
      </c>
      <c r="D242" s="1">
        <f t="shared" si="3"/>
        <v>-30.209999999999994</v>
      </c>
      <c r="E242">
        <v>2025</v>
      </c>
    </row>
    <row r="243" spans="1:5" x14ac:dyDescent="0.25">
      <c r="A243" t="s">
        <v>28</v>
      </c>
      <c r="B243">
        <v>101.7</v>
      </c>
      <c r="C243" t="s">
        <v>29</v>
      </c>
      <c r="D243" s="1">
        <f t="shared" si="3"/>
        <v>-4.1499999999999915</v>
      </c>
      <c r="E243">
        <v>2025</v>
      </c>
    </row>
    <row r="244" spans="1:5" x14ac:dyDescent="0.25">
      <c r="A244" t="s">
        <v>30</v>
      </c>
      <c r="B244">
        <v>106.32</v>
      </c>
      <c r="C244" t="s">
        <v>29</v>
      </c>
      <c r="D244" s="1">
        <f t="shared" si="3"/>
        <v>-1.0600000000000023</v>
      </c>
      <c r="E244">
        <v>2025</v>
      </c>
    </row>
    <row r="245" spans="1:5" x14ac:dyDescent="0.25">
      <c r="A245" t="s">
        <v>31</v>
      </c>
      <c r="B245">
        <v>104.93</v>
      </c>
      <c r="C245" t="s">
        <v>32</v>
      </c>
      <c r="D245" s="1">
        <f t="shared" si="3"/>
        <v>4.5300000000000011</v>
      </c>
      <c r="E245">
        <v>2025</v>
      </c>
    </row>
    <row r="246" spans="1:5" x14ac:dyDescent="0.25">
      <c r="A246" t="s">
        <v>33</v>
      </c>
      <c r="B246">
        <v>72.44</v>
      </c>
      <c r="C246" t="s">
        <v>4</v>
      </c>
      <c r="D246" s="1">
        <f t="shared" si="3"/>
        <v>-37.960000000000008</v>
      </c>
      <c r="E246">
        <v>2025</v>
      </c>
    </row>
    <row r="247" spans="1:5" x14ac:dyDescent="0.25">
      <c r="A247" t="s">
        <v>34</v>
      </c>
      <c r="B247">
        <v>105.65</v>
      </c>
      <c r="C247" t="s">
        <v>14</v>
      </c>
      <c r="D247" s="1">
        <f t="shared" si="3"/>
        <v>-9.0499999999999972</v>
      </c>
      <c r="E247">
        <v>2025</v>
      </c>
    </row>
    <row r="248" spans="1:5" x14ac:dyDescent="0.25">
      <c r="A248" t="s">
        <v>35</v>
      </c>
      <c r="B248">
        <v>84.62</v>
      </c>
      <c r="C248" t="s">
        <v>29</v>
      </c>
      <c r="D248" s="1">
        <f t="shared" si="3"/>
        <v>-6.9099999999999966</v>
      </c>
      <c r="E248">
        <v>2025</v>
      </c>
    </row>
    <row r="249" spans="1:5" x14ac:dyDescent="0.25">
      <c r="A249" t="s">
        <v>36</v>
      </c>
      <c r="B249">
        <v>98</v>
      </c>
      <c r="C249" t="s">
        <v>29</v>
      </c>
      <c r="D249" s="1">
        <f t="shared" si="3"/>
        <v>2.1299999999999955</v>
      </c>
      <c r="E249">
        <v>2025</v>
      </c>
    </row>
    <row r="250" spans="1:5" x14ac:dyDescent="0.25">
      <c r="A250" t="s">
        <v>37</v>
      </c>
      <c r="B250">
        <v>74.45</v>
      </c>
      <c r="C250" t="s">
        <v>29</v>
      </c>
      <c r="D250" s="1">
        <f t="shared" si="3"/>
        <v>-8.2800000000000011</v>
      </c>
      <c r="E250">
        <v>2025</v>
      </c>
    </row>
    <row r="251" spans="1:5" x14ac:dyDescent="0.25">
      <c r="A251" t="s">
        <v>38</v>
      </c>
      <c r="B251">
        <v>93.36</v>
      </c>
      <c r="C251" t="s">
        <v>7</v>
      </c>
      <c r="D251" s="1">
        <f t="shared" si="3"/>
        <v>-15.480000000000004</v>
      </c>
      <c r="E251">
        <v>2025</v>
      </c>
    </row>
    <row r="252" spans="1:5" x14ac:dyDescent="0.25">
      <c r="A252" t="s">
        <v>39</v>
      </c>
      <c r="B252">
        <v>72.08</v>
      </c>
      <c r="C252" t="s">
        <v>29</v>
      </c>
      <c r="D252" s="1">
        <f t="shared" si="3"/>
        <v>-9.0000000000003411E-2</v>
      </c>
      <c r="E252">
        <v>2025</v>
      </c>
    </row>
    <row r="253" spans="1:5" x14ac:dyDescent="0.25">
      <c r="A253" t="s">
        <v>40</v>
      </c>
      <c r="B253">
        <v>22.78</v>
      </c>
      <c r="C253" t="s">
        <v>4</v>
      </c>
      <c r="D253" s="1">
        <f t="shared" si="3"/>
        <v>-40.61</v>
      </c>
      <c r="E253">
        <v>2025</v>
      </c>
    </row>
    <row r="254" spans="1:5" x14ac:dyDescent="0.25">
      <c r="A254" t="s">
        <v>41</v>
      </c>
      <c r="B254">
        <v>33.9</v>
      </c>
      <c r="C254" t="s">
        <v>4</v>
      </c>
      <c r="D254" s="1">
        <f t="shared" si="3"/>
        <v>-24.190000000000005</v>
      </c>
      <c r="E254">
        <v>2025</v>
      </c>
    </row>
    <row r="255" spans="1:5" x14ac:dyDescent="0.25">
      <c r="A255" t="s">
        <v>42</v>
      </c>
      <c r="B255">
        <v>55.79</v>
      </c>
      <c r="C255" t="s">
        <v>29</v>
      </c>
      <c r="D255" s="1">
        <f t="shared" si="3"/>
        <v>-1.8200000000000003</v>
      </c>
      <c r="E255">
        <v>2025</v>
      </c>
    </row>
    <row r="256" spans="1:5" x14ac:dyDescent="0.25">
      <c r="A256" t="s">
        <v>43</v>
      </c>
      <c r="B256">
        <v>54.28</v>
      </c>
      <c r="C256" t="s">
        <v>29</v>
      </c>
      <c r="D256" s="1">
        <f t="shared" si="3"/>
        <v>-2.1899999999999977</v>
      </c>
      <c r="E256">
        <v>2025</v>
      </c>
    </row>
    <row r="257" spans="1:5" x14ac:dyDescent="0.25">
      <c r="A257" t="s">
        <v>44</v>
      </c>
      <c r="B257">
        <v>58.78</v>
      </c>
      <c r="C257" t="s">
        <v>14</v>
      </c>
      <c r="D257" s="1">
        <f t="shared" si="3"/>
        <v>0.77000000000000313</v>
      </c>
      <c r="E257">
        <v>2025</v>
      </c>
    </row>
    <row r="258" spans="1:5" x14ac:dyDescent="0.25">
      <c r="A258" t="s">
        <v>45</v>
      </c>
      <c r="B258">
        <v>51.49</v>
      </c>
      <c r="C258" t="s">
        <v>29</v>
      </c>
      <c r="D258" s="1">
        <f t="shared" si="3"/>
        <v>-2.0899999999999963</v>
      </c>
      <c r="E258">
        <v>2025</v>
      </c>
    </row>
    <row r="259" spans="1:5" x14ac:dyDescent="0.25">
      <c r="A259" t="s">
        <v>46</v>
      </c>
      <c r="B259">
        <v>55.42</v>
      </c>
      <c r="C259" t="s">
        <v>4</v>
      </c>
      <c r="D259" s="1">
        <f t="shared" ref="D259:D322" si="4">B259-SUMIFS(B:B,E:E,E259-1,A:A,A259)</f>
        <v>-2.6099999999999994</v>
      </c>
      <c r="E259">
        <v>2025</v>
      </c>
    </row>
    <row r="260" spans="1:5" x14ac:dyDescent="0.25">
      <c r="A260" t="s">
        <v>47</v>
      </c>
      <c r="B260">
        <v>61.06</v>
      </c>
      <c r="C260" t="s">
        <v>48</v>
      </c>
      <c r="D260" s="1">
        <f t="shared" si="4"/>
        <v>7.2100000000000009</v>
      </c>
      <c r="E260">
        <v>2025</v>
      </c>
    </row>
    <row r="261" spans="1:5" x14ac:dyDescent="0.25">
      <c r="A261" t="s">
        <v>49</v>
      </c>
      <c r="B261">
        <v>38.68</v>
      </c>
      <c r="C261" t="s">
        <v>29</v>
      </c>
      <c r="D261" s="1">
        <f t="shared" si="4"/>
        <v>-1.2299999999999969</v>
      </c>
      <c r="E261">
        <v>2025</v>
      </c>
    </row>
    <row r="262" spans="1:5" x14ac:dyDescent="0.25">
      <c r="A262" t="s">
        <v>50</v>
      </c>
      <c r="B262">
        <v>66.61</v>
      </c>
      <c r="C262" t="s">
        <v>32</v>
      </c>
      <c r="D262" s="1">
        <f t="shared" si="4"/>
        <v>15.089999999999996</v>
      </c>
      <c r="E262">
        <v>2025</v>
      </c>
    </row>
    <row r="263" spans="1:5" x14ac:dyDescent="0.25">
      <c r="A263" t="s">
        <v>51</v>
      </c>
      <c r="B263">
        <v>48.47</v>
      </c>
      <c r="C263" t="s">
        <v>48</v>
      </c>
      <c r="D263" s="1">
        <f t="shared" si="4"/>
        <v>-5.4399999999999977</v>
      </c>
      <c r="E263">
        <v>2025</v>
      </c>
    </row>
    <row r="264" spans="1:5" x14ac:dyDescent="0.25">
      <c r="A264" t="s">
        <v>52</v>
      </c>
      <c r="B264">
        <v>38.83</v>
      </c>
      <c r="C264" t="s">
        <v>29</v>
      </c>
      <c r="D264" s="1">
        <f t="shared" si="4"/>
        <v>-0.95000000000000284</v>
      </c>
      <c r="E264">
        <v>2025</v>
      </c>
    </row>
    <row r="265" spans="1:5" x14ac:dyDescent="0.25">
      <c r="A265" t="s">
        <v>53</v>
      </c>
      <c r="B265">
        <v>58.93</v>
      </c>
      <c r="C265" t="s">
        <v>48</v>
      </c>
      <c r="D265" s="1">
        <f t="shared" si="4"/>
        <v>7.6199999999999974</v>
      </c>
      <c r="E265">
        <v>2025</v>
      </c>
    </row>
    <row r="266" spans="1:5" x14ac:dyDescent="0.25">
      <c r="A266" t="s">
        <v>54</v>
      </c>
      <c r="B266">
        <v>42.32</v>
      </c>
      <c r="C266" t="s">
        <v>48</v>
      </c>
      <c r="D266" s="1">
        <f t="shared" si="4"/>
        <v>-2.8599999999999994</v>
      </c>
      <c r="E266">
        <v>2025</v>
      </c>
    </row>
    <row r="267" spans="1:5" x14ac:dyDescent="0.25">
      <c r="A267" t="s">
        <v>55</v>
      </c>
      <c r="B267">
        <v>36.89</v>
      </c>
      <c r="C267" t="s">
        <v>14</v>
      </c>
      <c r="D267" s="1">
        <f t="shared" si="4"/>
        <v>4.7000000000000028</v>
      </c>
      <c r="E267">
        <v>2025</v>
      </c>
    </row>
    <row r="268" spans="1:5" x14ac:dyDescent="0.25">
      <c r="A268" t="s">
        <v>56</v>
      </c>
      <c r="B268">
        <v>34.74</v>
      </c>
      <c r="C268" t="s">
        <v>29</v>
      </c>
      <c r="D268" s="1">
        <f t="shared" si="4"/>
        <v>-9.9999999999980105E-3</v>
      </c>
      <c r="E268">
        <v>2025</v>
      </c>
    </row>
    <row r="269" spans="1:5" x14ac:dyDescent="0.25">
      <c r="A269" t="s">
        <v>57</v>
      </c>
      <c r="B269">
        <v>34.659999999999997</v>
      </c>
      <c r="C269" t="s">
        <v>48</v>
      </c>
      <c r="D269" s="1">
        <f t="shared" si="4"/>
        <v>2.2999999999999972</v>
      </c>
      <c r="E269">
        <v>2025</v>
      </c>
    </row>
    <row r="270" spans="1:5" x14ac:dyDescent="0.25">
      <c r="A270" t="s">
        <v>58</v>
      </c>
      <c r="B270">
        <v>4.5999999999999996</v>
      </c>
      <c r="C270" t="s">
        <v>59</v>
      </c>
      <c r="D270" s="1">
        <f t="shared" si="4"/>
        <v>-18.630000000000003</v>
      </c>
      <c r="E270">
        <v>2025</v>
      </c>
    </row>
    <row r="271" spans="1:5" x14ac:dyDescent="0.25">
      <c r="A271" t="s">
        <v>60</v>
      </c>
      <c r="B271">
        <v>40.49</v>
      </c>
      <c r="C271" t="s">
        <v>14</v>
      </c>
      <c r="D271" s="1">
        <f t="shared" si="4"/>
        <v>2.0000000000003126E-2</v>
      </c>
      <c r="E271">
        <v>2025</v>
      </c>
    </row>
    <row r="272" spans="1:5" x14ac:dyDescent="0.25">
      <c r="A272" t="s">
        <v>61</v>
      </c>
      <c r="B272">
        <v>36.97</v>
      </c>
      <c r="C272" t="s">
        <v>48</v>
      </c>
      <c r="D272" s="1">
        <f t="shared" si="4"/>
        <v>-0.46999999999999886</v>
      </c>
      <c r="E272">
        <v>2025</v>
      </c>
    </row>
    <row r="273" spans="1:5" x14ac:dyDescent="0.25">
      <c r="A273" t="s">
        <v>62</v>
      </c>
      <c r="B273">
        <v>35.299999999999997</v>
      </c>
      <c r="C273" t="s">
        <v>48</v>
      </c>
      <c r="D273" s="1">
        <f t="shared" si="4"/>
        <v>-2.1700000000000017</v>
      </c>
      <c r="E273">
        <v>2025</v>
      </c>
    </row>
    <row r="274" spans="1:5" x14ac:dyDescent="0.25">
      <c r="A274" t="s">
        <v>63</v>
      </c>
      <c r="B274">
        <v>33.85</v>
      </c>
      <c r="C274" t="s">
        <v>48</v>
      </c>
      <c r="D274" s="1">
        <f t="shared" si="4"/>
        <v>-1.25</v>
      </c>
      <c r="E274">
        <v>2025</v>
      </c>
    </row>
    <row r="275" spans="1:5" x14ac:dyDescent="0.25">
      <c r="A275" t="s">
        <v>64</v>
      </c>
      <c r="B275">
        <v>32.049999999999997</v>
      </c>
      <c r="C275" t="s">
        <v>48</v>
      </c>
      <c r="D275" s="1">
        <f t="shared" si="4"/>
        <v>-10.5</v>
      </c>
      <c r="E275">
        <v>2025</v>
      </c>
    </row>
    <row r="276" spans="1:5" x14ac:dyDescent="0.25">
      <c r="A276" t="s">
        <v>65</v>
      </c>
      <c r="B276">
        <v>36.130000000000003</v>
      </c>
      <c r="C276" t="s">
        <v>48</v>
      </c>
      <c r="D276" s="1">
        <f t="shared" si="4"/>
        <v>3.0600000000000023</v>
      </c>
      <c r="E276">
        <v>2025</v>
      </c>
    </row>
    <row r="277" spans="1:5" x14ac:dyDescent="0.25">
      <c r="A277" t="s">
        <v>66</v>
      </c>
      <c r="B277">
        <v>22.71</v>
      </c>
      <c r="C277" t="s">
        <v>29</v>
      </c>
      <c r="D277" s="1">
        <f t="shared" si="4"/>
        <v>-2.5399999999999991</v>
      </c>
      <c r="E277">
        <v>2025</v>
      </c>
    </row>
    <row r="278" spans="1:5" x14ac:dyDescent="0.25">
      <c r="A278" t="s">
        <v>67</v>
      </c>
      <c r="B278">
        <v>32.97</v>
      </c>
      <c r="C278" t="s">
        <v>48</v>
      </c>
      <c r="D278" s="1">
        <f t="shared" si="4"/>
        <v>3.7899999999999991</v>
      </c>
      <c r="E278">
        <v>2025</v>
      </c>
    </row>
    <row r="279" spans="1:5" x14ac:dyDescent="0.25">
      <c r="A279" t="s">
        <v>68</v>
      </c>
      <c r="B279">
        <v>26.89</v>
      </c>
      <c r="C279" t="s">
        <v>48</v>
      </c>
      <c r="D279" s="1">
        <f t="shared" si="4"/>
        <v>4.09</v>
      </c>
      <c r="E279">
        <v>2025</v>
      </c>
    </row>
    <row r="280" spans="1:5" x14ac:dyDescent="0.25">
      <c r="A280" t="s">
        <v>69</v>
      </c>
      <c r="B280">
        <v>21.37</v>
      </c>
      <c r="C280" t="s">
        <v>29</v>
      </c>
      <c r="D280" s="1">
        <f t="shared" si="4"/>
        <v>-2.3099999999999987</v>
      </c>
      <c r="E280">
        <v>2025</v>
      </c>
    </row>
    <row r="281" spans="1:5" x14ac:dyDescent="0.25">
      <c r="A281" t="s">
        <v>70</v>
      </c>
      <c r="B281">
        <v>15.67</v>
      </c>
      <c r="C281" t="s">
        <v>29</v>
      </c>
      <c r="D281" s="1">
        <f t="shared" si="4"/>
        <v>-7.1</v>
      </c>
      <c r="E281">
        <v>2025</v>
      </c>
    </row>
    <row r="282" spans="1:5" x14ac:dyDescent="0.25">
      <c r="A282" t="s">
        <v>71</v>
      </c>
      <c r="B282">
        <v>60.48</v>
      </c>
      <c r="C282" t="s">
        <v>48</v>
      </c>
      <c r="D282" s="1">
        <f t="shared" si="4"/>
        <v>-7.3900000000000077</v>
      </c>
      <c r="E282">
        <v>2025</v>
      </c>
    </row>
    <row r="283" spans="1:5" x14ac:dyDescent="0.25">
      <c r="A283" t="s">
        <v>72</v>
      </c>
      <c r="B283">
        <v>15.09</v>
      </c>
      <c r="C283" t="s">
        <v>29</v>
      </c>
      <c r="D283" s="1">
        <f t="shared" si="4"/>
        <v>-6.66</v>
      </c>
      <c r="E283">
        <v>2025</v>
      </c>
    </row>
    <row r="284" spans="1:5" x14ac:dyDescent="0.25">
      <c r="A284" t="s">
        <v>73</v>
      </c>
      <c r="B284">
        <v>30.75</v>
      </c>
      <c r="C284" t="s">
        <v>48</v>
      </c>
      <c r="D284" s="1">
        <f t="shared" si="4"/>
        <v>2.5100000000000016</v>
      </c>
      <c r="E284">
        <v>2025</v>
      </c>
    </row>
    <row r="285" spans="1:5" x14ac:dyDescent="0.25">
      <c r="A285" t="s">
        <v>74</v>
      </c>
      <c r="B285">
        <v>18.510000000000002</v>
      </c>
      <c r="C285" t="s">
        <v>14</v>
      </c>
      <c r="D285" s="1">
        <f t="shared" si="4"/>
        <v>-9.9999999999997868E-2</v>
      </c>
      <c r="E285">
        <v>2025</v>
      </c>
    </row>
    <row r="286" spans="1:5" x14ac:dyDescent="0.25">
      <c r="A286" t="s">
        <v>75</v>
      </c>
      <c r="B286">
        <v>26.4</v>
      </c>
      <c r="C286" t="s">
        <v>48</v>
      </c>
      <c r="D286" s="1">
        <f t="shared" si="4"/>
        <v>-3.2700000000000031</v>
      </c>
      <c r="E286">
        <v>2025</v>
      </c>
    </row>
    <row r="287" spans="1:5" x14ac:dyDescent="0.25">
      <c r="A287" t="s">
        <v>76</v>
      </c>
      <c r="B287">
        <v>26.26</v>
      </c>
      <c r="C287" t="s">
        <v>48</v>
      </c>
      <c r="D287" s="1">
        <f t="shared" si="4"/>
        <v>2.0600000000000023</v>
      </c>
      <c r="E287">
        <v>2025</v>
      </c>
    </row>
    <row r="288" spans="1:5" x14ac:dyDescent="0.25">
      <c r="A288" t="s">
        <v>77</v>
      </c>
      <c r="B288">
        <v>20.16</v>
      </c>
      <c r="C288" t="s">
        <v>48</v>
      </c>
      <c r="D288" s="1">
        <f t="shared" si="4"/>
        <v>3.8500000000000014</v>
      </c>
      <c r="E288">
        <v>2025</v>
      </c>
    </row>
    <row r="289" spans="1:5" x14ac:dyDescent="0.25">
      <c r="A289" t="s">
        <v>78</v>
      </c>
      <c r="B289">
        <v>25.59</v>
      </c>
      <c r="C289" t="s">
        <v>48</v>
      </c>
      <c r="D289" s="1">
        <f t="shared" si="4"/>
        <v>-2.9499999999999993</v>
      </c>
      <c r="E289">
        <v>2025</v>
      </c>
    </row>
    <row r="290" spans="1:5" x14ac:dyDescent="0.25">
      <c r="A290" t="s">
        <v>79</v>
      </c>
      <c r="B290">
        <v>15.51</v>
      </c>
      <c r="C290" t="s">
        <v>29</v>
      </c>
      <c r="D290" s="1">
        <f t="shared" si="4"/>
        <v>-1.0600000000000005</v>
      </c>
      <c r="E290">
        <v>2025</v>
      </c>
    </row>
    <row r="291" spans="1:5" x14ac:dyDescent="0.25">
      <c r="A291" t="s">
        <v>80</v>
      </c>
      <c r="B291">
        <v>9.39</v>
      </c>
      <c r="C291" t="s">
        <v>48</v>
      </c>
      <c r="D291" s="1">
        <f t="shared" si="4"/>
        <v>1.6600000000000001</v>
      </c>
      <c r="E291">
        <v>2025</v>
      </c>
    </row>
    <row r="292" spans="1:5" x14ac:dyDescent="0.25">
      <c r="A292" t="s">
        <v>81</v>
      </c>
      <c r="B292">
        <v>18.73</v>
      </c>
      <c r="C292" t="s">
        <v>48</v>
      </c>
      <c r="D292" s="1">
        <f t="shared" si="4"/>
        <v>0.85999999999999943</v>
      </c>
      <c r="E292">
        <v>2025</v>
      </c>
    </row>
    <row r="293" spans="1:5" x14ac:dyDescent="0.25">
      <c r="A293" t="s">
        <v>82</v>
      </c>
      <c r="B293">
        <v>15.89</v>
      </c>
      <c r="C293" t="s">
        <v>48</v>
      </c>
      <c r="D293" s="1">
        <f t="shared" si="4"/>
        <v>0.16000000000000014</v>
      </c>
      <c r="E293">
        <v>2025</v>
      </c>
    </row>
    <row r="294" spans="1:5" x14ac:dyDescent="0.25">
      <c r="A294" t="s">
        <v>83</v>
      </c>
      <c r="B294">
        <v>18.12</v>
      </c>
      <c r="C294" t="s">
        <v>48</v>
      </c>
      <c r="D294" s="1">
        <f t="shared" si="4"/>
        <v>1.6700000000000017</v>
      </c>
      <c r="E294">
        <v>2025</v>
      </c>
    </row>
    <row r="295" spans="1:5" x14ac:dyDescent="0.25">
      <c r="A295" t="s">
        <v>84</v>
      </c>
      <c r="B295">
        <v>14.12</v>
      </c>
      <c r="C295" t="s">
        <v>48</v>
      </c>
      <c r="D295" s="1">
        <f t="shared" si="4"/>
        <v>-0.38000000000000078</v>
      </c>
      <c r="E295">
        <v>2025</v>
      </c>
    </row>
    <row r="296" spans="1:5" x14ac:dyDescent="0.25">
      <c r="A296" t="s">
        <v>85</v>
      </c>
      <c r="B296">
        <v>8.9499999999999993</v>
      </c>
      <c r="C296" t="s">
        <v>29</v>
      </c>
      <c r="D296" s="1">
        <f t="shared" si="4"/>
        <v>-3.8000000000000007</v>
      </c>
      <c r="E296">
        <v>2025</v>
      </c>
    </row>
    <row r="297" spans="1:5" x14ac:dyDescent="0.25">
      <c r="A297" t="s">
        <v>86</v>
      </c>
      <c r="B297">
        <v>16.48</v>
      </c>
      <c r="C297" t="s">
        <v>48</v>
      </c>
      <c r="D297" s="1">
        <f t="shared" si="4"/>
        <v>2.370000000000001</v>
      </c>
      <c r="E297">
        <v>2025</v>
      </c>
    </row>
    <row r="298" spans="1:5" x14ac:dyDescent="0.25">
      <c r="A298" t="s">
        <v>87</v>
      </c>
      <c r="B298">
        <v>5.51</v>
      </c>
      <c r="C298" t="s">
        <v>4</v>
      </c>
      <c r="D298" s="1">
        <f t="shared" si="4"/>
        <v>-9</v>
      </c>
      <c r="E298">
        <v>2025</v>
      </c>
    </row>
    <row r="299" spans="1:5" x14ac:dyDescent="0.25">
      <c r="A299" t="s">
        <v>88</v>
      </c>
      <c r="B299">
        <v>6.04</v>
      </c>
      <c r="C299" t="s">
        <v>4</v>
      </c>
      <c r="D299" s="1">
        <f t="shared" si="4"/>
        <v>-16.84</v>
      </c>
      <c r="E299">
        <v>2025</v>
      </c>
    </row>
    <row r="300" spans="1:5" x14ac:dyDescent="0.25">
      <c r="A300" t="s">
        <v>89</v>
      </c>
      <c r="B300">
        <v>9.6300000000000008</v>
      </c>
      <c r="C300" t="s">
        <v>48</v>
      </c>
      <c r="D300" s="1">
        <f t="shared" si="4"/>
        <v>0.80000000000000071</v>
      </c>
      <c r="E300">
        <v>2025</v>
      </c>
    </row>
    <row r="301" spans="1:5" x14ac:dyDescent="0.25">
      <c r="A301" t="s">
        <v>90</v>
      </c>
      <c r="B301">
        <v>12.08</v>
      </c>
      <c r="C301" t="s">
        <v>59</v>
      </c>
      <c r="D301" s="1">
        <f t="shared" si="4"/>
        <v>-18.380000000000003</v>
      </c>
      <c r="E301">
        <v>2025</v>
      </c>
    </row>
    <row r="302" spans="1:5" x14ac:dyDescent="0.25">
      <c r="A302" t="s">
        <v>91</v>
      </c>
      <c r="B302">
        <v>11.45</v>
      </c>
      <c r="C302" t="s">
        <v>48</v>
      </c>
      <c r="D302" s="1">
        <f t="shared" si="4"/>
        <v>-0.44000000000000128</v>
      </c>
      <c r="E302">
        <v>2025</v>
      </c>
    </row>
    <row r="303" spans="1:5" x14ac:dyDescent="0.25">
      <c r="A303" t="s">
        <v>92</v>
      </c>
      <c r="B303">
        <v>8.75</v>
      </c>
      <c r="C303" t="s">
        <v>48</v>
      </c>
      <c r="D303" s="1">
        <f t="shared" si="4"/>
        <v>5.0000000000000711E-2</v>
      </c>
      <c r="E303">
        <v>2025</v>
      </c>
    </row>
    <row r="304" spans="1:5" x14ac:dyDescent="0.25">
      <c r="A304" t="s">
        <v>93</v>
      </c>
      <c r="B304">
        <v>13.71</v>
      </c>
      <c r="C304" t="s">
        <v>48</v>
      </c>
      <c r="D304" s="1">
        <f t="shared" si="4"/>
        <v>1.120000000000001</v>
      </c>
      <c r="E304">
        <v>2025</v>
      </c>
    </row>
    <row r="305" spans="1:5" x14ac:dyDescent="0.25">
      <c r="A305" t="s">
        <v>94</v>
      </c>
      <c r="B305">
        <v>9.56</v>
      </c>
      <c r="C305" t="s">
        <v>48</v>
      </c>
      <c r="D305" s="1">
        <f t="shared" si="4"/>
        <v>8.9999999999999858E-2</v>
      </c>
      <c r="E305">
        <v>2025</v>
      </c>
    </row>
    <row r="306" spans="1:5" x14ac:dyDescent="0.25">
      <c r="A306" t="s">
        <v>95</v>
      </c>
      <c r="B306">
        <v>6.23</v>
      </c>
      <c r="C306" t="s">
        <v>48</v>
      </c>
      <c r="D306" s="1">
        <f t="shared" si="4"/>
        <v>1.3400000000000007</v>
      </c>
      <c r="E306">
        <v>2025</v>
      </c>
    </row>
    <row r="307" spans="1:5" x14ac:dyDescent="0.25">
      <c r="A307" t="s">
        <v>96</v>
      </c>
      <c r="B307">
        <v>15.72</v>
      </c>
      <c r="C307" t="s">
        <v>48</v>
      </c>
      <c r="D307" s="1">
        <f t="shared" si="4"/>
        <v>1.7800000000000011</v>
      </c>
      <c r="E307">
        <v>2025</v>
      </c>
    </row>
    <row r="308" spans="1:5" x14ac:dyDescent="0.25">
      <c r="A308" t="s">
        <v>97</v>
      </c>
      <c r="B308">
        <v>9.0299999999999994</v>
      </c>
      <c r="C308" t="s">
        <v>48</v>
      </c>
      <c r="D308" s="1">
        <f t="shared" si="4"/>
        <v>1.4499999999999993</v>
      </c>
      <c r="E308">
        <v>2025</v>
      </c>
    </row>
    <row r="309" spans="1:5" x14ac:dyDescent="0.25">
      <c r="A309" t="s">
        <v>98</v>
      </c>
      <c r="B309">
        <v>6.1</v>
      </c>
      <c r="C309" t="s">
        <v>48</v>
      </c>
      <c r="D309" s="1">
        <f t="shared" si="4"/>
        <v>-0.4300000000000006</v>
      </c>
      <c r="E309">
        <v>2025</v>
      </c>
    </row>
    <row r="310" spans="1:5" x14ac:dyDescent="0.25">
      <c r="A310" t="s">
        <v>99</v>
      </c>
      <c r="B310">
        <v>8.1300000000000008</v>
      </c>
      <c r="C310" t="s">
        <v>14</v>
      </c>
      <c r="D310" s="1">
        <f t="shared" si="4"/>
        <v>3.2200000000000006</v>
      </c>
      <c r="E310">
        <v>2025</v>
      </c>
    </row>
    <row r="311" spans="1:5" x14ac:dyDescent="0.25">
      <c r="A311" t="s">
        <v>100</v>
      </c>
      <c r="B311">
        <v>19.649999999999999</v>
      </c>
      <c r="C311" t="s">
        <v>14</v>
      </c>
      <c r="D311" s="1">
        <f t="shared" si="4"/>
        <v>13.52</v>
      </c>
      <c r="E311">
        <v>2025</v>
      </c>
    </row>
    <row r="312" spans="1:5" x14ac:dyDescent="0.25">
      <c r="A312" t="s">
        <v>101</v>
      </c>
      <c r="B312">
        <v>4.1399999999999997</v>
      </c>
      <c r="C312" t="s">
        <v>59</v>
      </c>
      <c r="D312" s="1">
        <f t="shared" si="4"/>
        <v>-9.0000000000000746E-2</v>
      </c>
      <c r="E312">
        <v>2025</v>
      </c>
    </row>
    <row r="313" spans="1:5" x14ac:dyDescent="0.25">
      <c r="A313" t="s">
        <v>102</v>
      </c>
      <c r="B313">
        <v>2.36</v>
      </c>
      <c r="C313" t="s">
        <v>48</v>
      </c>
      <c r="D313" s="1">
        <f t="shared" si="4"/>
        <v>-1.4700000000000002</v>
      </c>
      <c r="E313">
        <v>2025</v>
      </c>
    </row>
    <row r="314" spans="1:5" x14ac:dyDescent="0.25">
      <c r="A314" t="s">
        <v>103</v>
      </c>
      <c r="B314">
        <v>4.38</v>
      </c>
      <c r="C314" t="s">
        <v>48</v>
      </c>
      <c r="D314" s="1">
        <f t="shared" si="4"/>
        <v>-0.12999999999999989</v>
      </c>
      <c r="E314">
        <v>2025</v>
      </c>
    </row>
    <row r="315" spans="1:5" x14ac:dyDescent="0.25">
      <c r="A315" t="s">
        <v>104</v>
      </c>
      <c r="B315">
        <v>3.96</v>
      </c>
      <c r="C315" t="s">
        <v>48</v>
      </c>
      <c r="D315" s="1">
        <f t="shared" si="4"/>
        <v>-1.21</v>
      </c>
      <c r="E315">
        <v>2025</v>
      </c>
    </row>
    <row r="316" spans="1:5" x14ac:dyDescent="0.25">
      <c r="A316" t="s">
        <v>105</v>
      </c>
      <c r="B316">
        <v>2.4300000000000002</v>
      </c>
      <c r="C316" t="s">
        <v>48</v>
      </c>
      <c r="D316" s="1">
        <f t="shared" si="4"/>
        <v>-9.9999999999999645E-2</v>
      </c>
      <c r="E316">
        <v>2025</v>
      </c>
    </row>
    <row r="317" spans="1:5" x14ac:dyDescent="0.25">
      <c r="A317" t="s">
        <v>106</v>
      </c>
      <c r="B317">
        <v>2.3199999999999998</v>
      </c>
      <c r="C317" t="s">
        <v>48</v>
      </c>
      <c r="D317" s="1">
        <f t="shared" si="4"/>
        <v>-2.0000000000000018E-2</v>
      </c>
      <c r="E317">
        <v>2025</v>
      </c>
    </row>
    <row r="318" spans="1:5" x14ac:dyDescent="0.25">
      <c r="A318" t="s">
        <v>107</v>
      </c>
      <c r="B318">
        <v>2.68</v>
      </c>
      <c r="C318" t="s">
        <v>48</v>
      </c>
      <c r="D318" s="1">
        <f t="shared" si="4"/>
        <v>-0.21999999999999975</v>
      </c>
      <c r="E318">
        <v>2025</v>
      </c>
    </row>
    <row r="319" spans="1:5" x14ac:dyDescent="0.25">
      <c r="A319" t="s">
        <v>108</v>
      </c>
      <c r="B319">
        <v>1.38</v>
      </c>
      <c r="C319" t="s">
        <v>4</v>
      </c>
      <c r="D319" s="1">
        <f t="shared" si="4"/>
        <v>-1.3900000000000001</v>
      </c>
      <c r="E319">
        <v>2025</v>
      </c>
    </row>
    <row r="320" spans="1:5" x14ac:dyDescent="0.25">
      <c r="A320" t="s">
        <v>109</v>
      </c>
      <c r="B320">
        <v>1.38</v>
      </c>
      <c r="C320" t="s">
        <v>48</v>
      </c>
      <c r="D320" s="1">
        <f t="shared" si="4"/>
        <v>-0.1100000000000001</v>
      </c>
      <c r="E320">
        <v>2025</v>
      </c>
    </row>
    <row r="321" spans="1:5" x14ac:dyDescent="0.25">
      <c r="A321" t="s">
        <v>110</v>
      </c>
      <c r="B321">
        <v>13.14</v>
      </c>
      <c r="C321" t="s">
        <v>4</v>
      </c>
      <c r="D321" s="1">
        <f t="shared" si="4"/>
        <v>-4.6499999999999986</v>
      </c>
      <c r="E321">
        <v>2025</v>
      </c>
    </row>
    <row r="322" spans="1:5" x14ac:dyDescent="0.25">
      <c r="A322" t="s">
        <v>111</v>
      </c>
      <c r="B322">
        <v>0.99</v>
      </c>
      <c r="C322" t="s">
        <v>14</v>
      </c>
      <c r="D322" s="1">
        <f t="shared" si="4"/>
        <v>0.94</v>
      </c>
      <c r="E322">
        <v>2025</v>
      </c>
    </row>
    <row r="323" spans="1:5" x14ac:dyDescent="0.25">
      <c r="A323" t="s">
        <v>112</v>
      </c>
      <c r="B323">
        <v>0.35</v>
      </c>
      <c r="C323" t="s">
        <v>14</v>
      </c>
      <c r="D323" s="1">
        <f t="shared" ref="D323:D346" si="5">B323-SUMIFS(B:B,E:E,E323-1,A:A,A323)</f>
        <v>-0.33999999999999997</v>
      </c>
      <c r="E323">
        <v>2025</v>
      </c>
    </row>
    <row r="324" spans="1:5" x14ac:dyDescent="0.25">
      <c r="A324" t="s">
        <v>113</v>
      </c>
      <c r="B324">
        <v>0.06</v>
      </c>
      <c r="C324" t="s">
        <v>59</v>
      </c>
      <c r="D324" s="1">
        <f t="shared" si="5"/>
        <v>-0.69</v>
      </c>
      <c r="E324">
        <v>2025</v>
      </c>
    </row>
    <row r="325" spans="1:5" x14ac:dyDescent="0.25">
      <c r="A325" t="s">
        <v>114</v>
      </c>
      <c r="B325">
        <v>0.17</v>
      </c>
      <c r="C325" t="s">
        <v>14</v>
      </c>
      <c r="D325" s="1">
        <f t="shared" si="5"/>
        <v>0</v>
      </c>
      <c r="E325">
        <v>2025</v>
      </c>
    </row>
    <row r="326" spans="1:5" x14ac:dyDescent="0.25">
      <c r="A326" t="s">
        <v>115</v>
      </c>
      <c r="B326">
        <v>0.65</v>
      </c>
      <c r="C326" t="s">
        <v>48</v>
      </c>
      <c r="D326" s="1">
        <f t="shared" si="5"/>
        <v>0.55000000000000004</v>
      </c>
      <c r="E326">
        <v>2025</v>
      </c>
    </row>
    <row r="327" spans="1:5" x14ac:dyDescent="0.25">
      <c r="A327" t="s">
        <v>116</v>
      </c>
      <c r="B327">
        <v>0.02</v>
      </c>
      <c r="C327" t="s">
        <v>48</v>
      </c>
      <c r="D327" s="1">
        <f t="shared" si="5"/>
        <v>0</v>
      </c>
      <c r="E327">
        <v>2025</v>
      </c>
    </row>
    <row r="328" spans="1:5" x14ac:dyDescent="0.25">
      <c r="A328" t="s">
        <v>118</v>
      </c>
      <c r="B328">
        <v>1.93</v>
      </c>
      <c r="C328" t="s">
        <v>59</v>
      </c>
      <c r="D328" s="1">
        <f t="shared" si="5"/>
        <v>-40.99</v>
      </c>
      <c r="E328">
        <v>2025</v>
      </c>
    </row>
    <row r="329" spans="1:5" x14ac:dyDescent="0.25">
      <c r="A329" t="s">
        <v>119</v>
      </c>
      <c r="B329">
        <v>80.16</v>
      </c>
      <c r="C329" t="s">
        <v>29</v>
      </c>
      <c r="D329" s="1">
        <f t="shared" si="5"/>
        <v>43.599999999999994</v>
      </c>
      <c r="E329">
        <v>2025</v>
      </c>
    </row>
    <row r="330" spans="1:5" x14ac:dyDescent="0.25">
      <c r="A330" t="s">
        <v>120</v>
      </c>
      <c r="B330">
        <v>13.45</v>
      </c>
      <c r="C330" t="s">
        <v>59</v>
      </c>
      <c r="D330" s="1">
        <f t="shared" si="5"/>
        <v>-13.260000000000002</v>
      </c>
      <c r="E330">
        <v>2025</v>
      </c>
    </row>
    <row r="331" spans="1:5" x14ac:dyDescent="0.25">
      <c r="A331" t="s">
        <v>121</v>
      </c>
      <c r="B331">
        <v>19.11</v>
      </c>
      <c r="C331" t="s">
        <v>59</v>
      </c>
      <c r="D331" s="1">
        <f t="shared" si="5"/>
        <v>0.98999999999999844</v>
      </c>
      <c r="E331">
        <v>2025</v>
      </c>
    </row>
    <row r="332" spans="1:5" x14ac:dyDescent="0.25">
      <c r="A332" t="s">
        <v>122</v>
      </c>
      <c r="B332">
        <v>10.55</v>
      </c>
      <c r="C332" t="s">
        <v>4</v>
      </c>
      <c r="D332" s="1">
        <f t="shared" si="5"/>
        <v>-3.41</v>
      </c>
      <c r="E332">
        <v>2025</v>
      </c>
    </row>
    <row r="333" spans="1:5" x14ac:dyDescent="0.25">
      <c r="A333" t="s">
        <v>123</v>
      </c>
      <c r="B333">
        <v>6.98</v>
      </c>
      <c r="C333" t="s">
        <v>29</v>
      </c>
      <c r="D333" s="1">
        <f t="shared" si="5"/>
        <v>2.0600000000000005</v>
      </c>
      <c r="E333">
        <v>2025</v>
      </c>
    </row>
    <row r="334" spans="1:5" x14ac:dyDescent="0.25">
      <c r="A334" t="s">
        <v>124</v>
      </c>
      <c r="B334">
        <v>52.75</v>
      </c>
      <c r="C334" t="s">
        <v>59</v>
      </c>
      <c r="D334" s="1">
        <f t="shared" si="5"/>
        <v>51.46</v>
      </c>
      <c r="E334">
        <v>2025</v>
      </c>
    </row>
    <row r="335" spans="1:5" x14ac:dyDescent="0.25">
      <c r="A335" t="s">
        <v>125</v>
      </c>
      <c r="B335">
        <v>215.83</v>
      </c>
      <c r="C335" t="s">
        <v>32</v>
      </c>
      <c r="D335" s="1">
        <f t="shared" si="5"/>
        <v>215.83</v>
      </c>
      <c r="E335">
        <v>2025</v>
      </c>
    </row>
    <row r="336" spans="1:5" x14ac:dyDescent="0.25">
      <c r="A336" t="s">
        <v>126</v>
      </c>
      <c r="B336">
        <v>18.170000000000002</v>
      </c>
      <c r="C336" t="s">
        <v>59</v>
      </c>
      <c r="D336" s="1">
        <f t="shared" si="5"/>
        <v>18.170000000000002</v>
      </c>
      <c r="E336">
        <v>2025</v>
      </c>
    </row>
    <row r="337" spans="1:5" x14ac:dyDescent="0.25">
      <c r="A337" t="s">
        <v>127</v>
      </c>
      <c r="B337">
        <v>15.93</v>
      </c>
      <c r="C337" t="s">
        <v>32</v>
      </c>
      <c r="D337" s="1">
        <f t="shared" si="5"/>
        <v>15.93</v>
      </c>
      <c r="E337">
        <v>2025</v>
      </c>
    </row>
    <row r="338" spans="1:5" x14ac:dyDescent="0.25">
      <c r="A338" t="s">
        <v>128</v>
      </c>
      <c r="B338">
        <v>17.25</v>
      </c>
      <c r="C338" t="s">
        <v>32</v>
      </c>
      <c r="D338" s="1">
        <f t="shared" si="5"/>
        <v>17.25</v>
      </c>
      <c r="E338">
        <v>2025</v>
      </c>
    </row>
    <row r="339" spans="1:5" x14ac:dyDescent="0.25">
      <c r="A339" t="s">
        <v>129</v>
      </c>
      <c r="B339">
        <v>13.38</v>
      </c>
      <c r="C339" t="s">
        <v>32</v>
      </c>
      <c r="D339" s="1">
        <f t="shared" si="5"/>
        <v>13.38</v>
      </c>
      <c r="E339">
        <v>2025</v>
      </c>
    </row>
    <row r="340" spans="1:5" x14ac:dyDescent="0.25">
      <c r="A340" t="s">
        <v>130</v>
      </c>
      <c r="B340">
        <v>11.18</v>
      </c>
      <c r="C340" t="s">
        <v>59</v>
      </c>
      <c r="D340" s="1">
        <f t="shared" si="5"/>
        <v>11.18</v>
      </c>
      <c r="E340">
        <v>2025</v>
      </c>
    </row>
    <row r="341" spans="1:5" x14ac:dyDescent="0.25">
      <c r="A341" t="s">
        <v>131</v>
      </c>
      <c r="B341">
        <v>10.78</v>
      </c>
      <c r="C341" t="s">
        <v>59</v>
      </c>
      <c r="D341" s="1">
        <f t="shared" si="5"/>
        <v>10.78</v>
      </c>
      <c r="E341">
        <v>2025</v>
      </c>
    </row>
    <row r="342" spans="1:5" x14ac:dyDescent="0.25">
      <c r="A342" t="s">
        <v>132</v>
      </c>
      <c r="B342">
        <v>9.68</v>
      </c>
      <c r="C342" t="s">
        <v>32</v>
      </c>
      <c r="D342" s="1">
        <f t="shared" si="5"/>
        <v>9.68</v>
      </c>
      <c r="E342">
        <v>2025</v>
      </c>
    </row>
    <row r="343" spans="1:5" x14ac:dyDescent="0.25">
      <c r="A343" t="s">
        <v>133</v>
      </c>
      <c r="B343">
        <v>8.75</v>
      </c>
      <c r="C343" t="s">
        <v>59</v>
      </c>
      <c r="D343" s="1">
        <f t="shared" si="5"/>
        <v>8.75</v>
      </c>
      <c r="E343">
        <v>2025</v>
      </c>
    </row>
    <row r="344" spans="1:5" x14ac:dyDescent="0.25">
      <c r="A344" t="s">
        <v>134</v>
      </c>
      <c r="B344">
        <v>6.33</v>
      </c>
      <c r="C344" t="s">
        <v>59</v>
      </c>
      <c r="D344" s="1">
        <f t="shared" si="5"/>
        <v>6.33</v>
      </c>
      <c r="E344">
        <v>2025</v>
      </c>
    </row>
    <row r="345" spans="1:5" x14ac:dyDescent="0.25">
      <c r="A345" t="s">
        <v>135</v>
      </c>
      <c r="B345">
        <v>4.28</v>
      </c>
      <c r="C345" t="s">
        <v>4</v>
      </c>
      <c r="D345" s="1">
        <f t="shared" si="5"/>
        <v>4.28</v>
      </c>
      <c r="E345">
        <v>2025</v>
      </c>
    </row>
    <row r="346" spans="1:5" x14ac:dyDescent="0.25">
      <c r="A346" t="s">
        <v>136</v>
      </c>
      <c r="B346">
        <v>1.96</v>
      </c>
      <c r="C346" t="s">
        <v>32</v>
      </c>
      <c r="D346" s="1">
        <f t="shared" si="5"/>
        <v>1.96</v>
      </c>
      <c r="E346">
        <v>2025</v>
      </c>
    </row>
    <row r="347" spans="1:5" x14ac:dyDescent="0.25">
      <c r="A347" t="s">
        <v>148</v>
      </c>
      <c r="B347">
        <v>0.53</v>
      </c>
      <c r="C347" t="s">
        <v>29</v>
      </c>
      <c r="D347" s="1">
        <f t="shared" ref="D347:D348" si="6">B347-SUMIFS(B:B,E:E,E347-1,A:A,A347)</f>
        <v>0.53</v>
      </c>
      <c r="E347">
        <v>2025</v>
      </c>
    </row>
    <row r="348" spans="1:5" x14ac:dyDescent="0.25">
      <c r="A348" t="s">
        <v>149</v>
      </c>
      <c r="B348">
        <v>0.99</v>
      </c>
      <c r="C348" t="s">
        <v>32</v>
      </c>
      <c r="D348" s="1">
        <f t="shared" si="6"/>
        <v>0.99</v>
      </c>
      <c r="E34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Generation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2026-03-03T23:32:30Z</dcterms:modified>
</cp:coreProperties>
</file>