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dwals-my.sharepoint.com/personal/samuel_rodwal_com/Documents/Professional_WorkTools/Github/EnergyPricingForecast/docs/"/>
    </mc:Choice>
  </mc:AlternateContent>
  <xr:revisionPtr revIDLastSave="122" documentId="8_{877F49A3-4F6D-49E6-B621-074B2EA7D626}" xr6:coauthVersionLast="47" xr6:coauthVersionMax="47" xr10:uidLastSave="{8FB5B0CF-6DEA-4706-BB53-9D844A64BE78}"/>
  <bookViews>
    <workbookView xWindow="-105" yWindow="0" windowWidth="26430" windowHeight="21705" activeTab="1" xr2:uid="{4EFDC428-A647-4536-A8D9-EB31350B60E3}"/>
  </bookViews>
  <sheets>
    <sheet name="Sheet3" sheetId="3" r:id="rId1"/>
    <sheet name="Sheet1" sheetId="1" r:id="rId2"/>
    <sheet name="Sheet5" sheetId="5" r:id="rId3"/>
    <sheet name="Sheet4" sheetId="4" r:id="rId4"/>
    <sheet name="Sheet2" sheetId="2" r:id="rId5"/>
  </sheets>
  <definedNames>
    <definedName name="_xlnm._FilterDatabase" localSheetId="2" hidden="1">Sheet5!$B$2:$H$2</definedName>
  </definedNames>
  <calcPr calcId="191029"/>
  <pivotCaches>
    <pivotCache cacheId="8" r:id="rId6"/>
    <pivotCache cacheId="1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9" i="1" l="1"/>
  <c r="Q59" i="1"/>
  <c r="R58" i="1"/>
  <c r="Q58" i="1"/>
  <c r="R56" i="1"/>
  <c r="P56" i="1"/>
  <c r="R55" i="1"/>
  <c r="P55" i="1"/>
  <c r="Q53" i="1"/>
  <c r="Q56" i="1" s="1"/>
  <c r="T56" i="1" s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T53" i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3" i="2"/>
  <c r="Q55" i="1" l="1"/>
  <c r="T55" i="1" s="1"/>
</calcChain>
</file>

<file path=xl/sharedStrings.xml><?xml version="1.0" encoding="utf-8"?>
<sst xmlns="http://schemas.openxmlformats.org/spreadsheetml/2006/main" count="319" uniqueCount="114">
  <si>
    <t>SEMANA</t>
  </si>
  <si>
    <t>PRODUCTO</t>
  </si>
  <si>
    <t>Suma de PRECIO</t>
  </si>
  <si>
    <t>DIÉSEL</t>
  </si>
  <si>
    <t>MARZO</t>
  </si>
  <si>
    <t>Feb</t>
  </si>
  <si>
    <t>Ene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</si>
  <si>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</si>
  <si>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</si>
  <si>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</si>
  <si>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</si>
  <si>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</si>
  <si>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</si>
  <si>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</si>
  <si>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</si>
  <si>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</si>
  <si>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</si>
  <si>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</si>
  <si>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</si>
  <si>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SEMANA	PRODUCTO	Suma</t>
  </si>
  <si>
    <t>de</t>
  </si>
  <si>
    <t>PRECIO</t>
  </si>
  <si>
    <t>1	DIÉSEL	L81.69</t>
  </si>
  <si>
    <t>2	DIÉSEL	L80.81</t>
  </si>
  <si>
    <t>3	DIÉSEL	L80.81</t>
  </si>
  <si>
    <t>4	DIÉSEL	L81.76</t>
  </si>
  <si>
    <t>Date</t>
  </si>
  <si>
    <t>YEAR</t>
  </si>
  <si>
    <t>OK WIT</t>
  </si>
  <si>
    <t>Row Labels</t>
  </si>
  <si>
    <t>Grand Total</t>
  </si>
  <si>
    <t>2022</t>
  </si>
  <si>
    <t>2023</t>
  </si>
  <si>
    <t>2024</t>
  </si>
  <si>
    <t>2025</t>
  </si>
  <si>
    <t>2026</t>
  </si>
  <si>
    <t>Jan</t>
  </si>
  <si>
    <t>Mar</t>
  </si>
  <si>
    <t>NO PRICE</t>
  </si>
  <si>
    <t>TRUE</t>
  </si>
  <si>
    <t>WIT Crude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</si>
  <si>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</si>
  <si>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</si>
  <si>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</si>
  <si>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</si>
  <si>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</si>
  <si>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</si>
  <si>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</si>
  <si>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</si>
  <si>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</si>
  <si>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Years (Date)</t>
  </si>
  <si>
    <t>Months (Date)</t>
  </si>
  <si>
    <t>DIESEL</t>
  </si>
  <si>
    <t>Month</t>
  </si>
  <si>
    <t>Year</t>
  </si>
  <si>
    <t>AVG DIESEL HN</t>
  </si>
  <si>
    <t>AVG OK WIT</t>
  </si>
  <si>
    <t>DIESEL USD/Galon</t>
  </si>
  <si>
    <t>FX</t>
  </si>
  <si>
    <t>Mon/Mon</t>
  </si>
  <si>
    <t>YoY</t>
  </si>
  <si>
    <t>Price</t>
  </si>
  <si>
    <t>Open</t>
  </si>
  <si>
    <t>High</t>
  </si>
  <si>
    <t>Low</t>
  </si>
  <si>
    <t>Vol.</t>
  </si>
  <si>
    <t>Change %</t>
  </si>
  <si>
    <t>10.56M</t>
  </si>
  <si>
    <t>6.03M</t>
  </si>
  <si>
    <t>6.20M</t>
  </si>
  <si>
    <t>4.38M</t>
  </si>
  <si>
    <t>4.39M</t>
  </si>
  <si>
    <t>6.29M</t>
  </si>
  <si>
    <t>4.92M</t>
  </si>
  <si>
    <t>4.84M</t>
  </si>
  <si>
    <t>5.05M</t>
  </si>
  <si>
    <t>6.42M</t>
  </si>
  <si>
    <t>5.54M</t>
  </si>
  <si>
    <t>6.86M</t>
  </si>
  <si>
    <t>4.90M</t>
  </si>
  <si>
    <t>4.65M</t>
  </si>
  <si>
    <t>7.35M</t>
  </si>
  <si>
    <t>6.66M</t>
  </si>
  <si>
    <t>7.22M</t>
  </si>
  <si>
    <t>6.85M</t>
  </si>
  <si>
    <t>5.25M</t>
  </si>
  <si>
    <t>6.28M</t>
  </si>
  <si>
    <t>6.56M</t>
  </si>
  <si>
    <t>5.50M</t>
  </si>
  <si>
    <t>6.04M</t>
  </si>
  <si>
    <t>6.50M</t>
  </si>
  <si>
    <t>322.17K</t>
  </si>
  <si>
    <t>346.01K</t>
  </si>
  <si>
    <t>5.93M</t>
  </si>
  <si>
    <t>299.42K</t>
  </si>
  <si>
    <t>297.27K</t>
  </si>
  <si>
    <t>6.16M</t>
  </si>
  <si>
    <t>440.86K</t>
  </si>
  <si>
    <t>328.40K</t>
  </si>
  <si>
    <t>7.07M</t>
  </si>
  <si>
    <t>300.09K</t>
  </si>
  <si>
    <t>189.32K</t>
  </si>
  <si>
    <t>5.68M</t>
  </si>
  <si>
    <t>5.33M</t>
  </si>
  <si>
    <t>5.81M</t>
  </si>
  <si>
    <t>6.61M</t>
  </si>
  <si>
    <t>6.14M</t>
  </si>
  <si>
    <t>5.32M</t>
  </si>
  <si>
    <t>5.39M</t>
  </si>
  <si>
    <t>8.83M</t>
  </si>
  <si>
    <t>8.21M</t>
  </si>
  <si>
    <t>7.52M</t>
  </si>
  <si>
    <t>Iran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</si>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</sst>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m\ dd\,\ yyyy"/>
  </numFmts>
  <fonts count="12">
    <font>
      <sz val="11"/>
      <color theme="1"/>
      <name val="Aptos Narrow"/>
      <family val="2"/>
      <scheme val="minor"/>
    </font>
    <font>
      <sz val="14"/>
      <color rgb="FF000000"/>
      <name val="Arial"/>
      <family val="2"/>
    </font>
    <font>
      <sz val="11"/>
      <color theme="1"/>
      <name val="Segoe UI"/>
      <family val="2"/>
    </font>
    <font>
      <sz val="10"/>
      <color theme="1"/>
      <name val="Arial Unicode MS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1"/>
      <color rgb="FF232526"/>
      <name val="Segoe UI"/>
      <family val="2"/>
    </font>
    <font>
      <sz val="11"/>
      <color rgb="FF007C32"/>
      <name val="Segoe UI"/>
      <family val="2"/>
    </font>
    <font>
      <sz val="11"/>
      <color rgb="FF232526"/>
      <name val="Segoe UI"/>
      <family val="2"/>
    </font>
    <font>
      <b/>
      <sz val="11"/>
      <color rgb="FF007C32"/>
      <name val="Segoe UI"/>
      <family val="2"/>
    </font>
    <font>
      <sz val="11"/>
      <color rgb="FFD91400"/>
      <name val="Segoe UI"/>
      <family val="2"/>
    </font>
    <font>
      <b/>
      <sz val="11"/>
      <color rgb="FFD914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164" fontId="0" fillId="0" borderId="0" xfId="0" applyNumberFormat="1"/>
    <xf numFmtId="1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2" borderId="1" xfId="0" applyFont="1" applyFill="1" applyBorder="1"/>
    <xf numFmtId="44" fontId="0" fillId="0" borderId="0" xfId="0" applyNumberFormat="1"/>
    <xf numFmtId="0" fontId="3" fillId="3" borderId="0" xfId="0" applyFont="1" applyFill="1" applyAlignment="1">
      <alignment vertical="center"/>
    </xf>
    <xf numFmtId="0" fontId="0" fillId="3" borderId="0" xfId="0" applyFill="1"/>
    <xf numFmtId="44" fontId="0" fillId="3" borderId="0" xfId="0" applyNumberFormat="1" applyFill="1"/>
    <xf numFmtId="0" fontId="0" fillId="4" borderId="0" xfId="0" applyFill="1"/>
    <xf numFmtId="0" fontId="4" fillId="2" borderId="0" xfId="0" applyFont="1" applyFill="1" applyBorder="1"/>
    <xf numFmtId="0" fontId="6" fillId="5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right" vertical="center" wrapText="1"/>
    </xf>
    <xf numFmtId="15" fontId="6" fillId="5" borderId="0" xfId="0" applyNumberFormat="1" applyFont="1" applyFill="1" applyAlignment="1">
      <alignment horizontal="left" vertical="center"/>
    </xf>
    <xf numFmtId="0" fontId="7" fillId="5" borderId="0" xfId="0" applyFont="1" applyFill="1" applyAlignment="1">
      <alignment horizontal="right" vertical="center" wrapText="1" readingOrder="1"/>
    </xf>
    <xf numFmtId="0" fontId="8" fillId="5" borderId="0" xfId="0" applyFont="1" applyFill="1" applyAlignment="1">
      <alignment horizontal="right" vertical="center" wrapText="1"/>
    </xf>
    <xf numFmtId="10" fontId="9" fillId="5" borderId="0" xfId="0" applyNumberFormat="1" applyFont="1" applyFill="1" applyAlignment="1">
      <alignment horizontal="right" vertical="center" readingOrder="1"/>
    </xf>
    <xf numFmtId="0" fontId="10" fillId="5" borderId="0" xfId="0" applyFont="1" applyFill="1" applyAlignment="1">
      <alignment horizontal="right" vertical="center" wrapText="1" readingOrder="1"/>
    </xf>
    <xf numFmtId="10" fontId="11" fillId="5" borderId="0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14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7" formatCode="_(&quot;$&quot;* #,##0.000_);_(&quot;$&quot;* \(#,##0.000\);_(&quot;$&quot;* &quot;-&quot;??_);_(@_)"/>
    </dxf>
    <dxf>
      <numFmt numFmtId="34" formatCode="_(&quot;$&quot;* #,##0.00_);_(&quot;$&quot;* \(#,##0.00\);_(&quot;$&quot;* &quot;-&quot;??_);_(@_)"/>
    </dxf>
    <dxf>
      <numFmt numFmtId="167" formatCode="_(&quot;$&quot;* #,##0.000_);_(&quot;$&quot;* \(#,##0.000\);_(&quot;$&quot;* &quot;-&quot;??_);_(@_)"/>
    </dxf>
    <dxf>
      <numFmt numFmtId="168" formatCode="_(&quot;$&quot;* #,##0.0000_);_(&quot;$&quot;* \(#,##0.0000\);_(&quot;$&quot;* &quot;-&quot;??_);_(@_)"/>
    </dxf>
    <dxf>
      <numFmt numFmtId="168" formatCode="_(&quot;$&quot;* #,##0.0000_);_(&quot;$&quot;* \(#,##0.0000\);_(&quot;$&quot;* &quot;-&quot;??_);_(@_)"/>
    </dxf>
    <dxf>
      <numFmt numFmtId="168" formatCode="_(&quot;$&quot;* #,##0.0000_);_(&quot;$&quot;* \(#,##0.0000\);_(&quot;$&quot;* &quot;-&quot;??_);_(@_)"/>
    </dxf>
    <dxf>
      <numFmt numFmtId="168" formatCode="_(&quot;$&quot;* #,##0.0000_);_(&quot;$&quot;* \(#,##0.0000\);_(&quot;$&quot;* &quot;-&quot;??_);_(@_)"/>
    </dxf>
    <dxf>
      <numFmt numFmtId="167" formatCode="_(&quot;$&quot;* #,##0.000_);_(&quot;$&quot;* \(#,##0.000\);_(&quot;$&quot;* &quot;-&quot;??_);_(@_)"/>
    </dxf>
    <dxf>
      <numFmt numFmtId="167" formatCode="_(&quot;$&quot;* #,##0.000_);_(&quot;$&quot;* \(#,##0.0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[Honduras_GasPrices.xlsx]Sheet2!PivotTable1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Sheet2!$J$3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Sheet2!$G$4:$I$55</c:f>
              <c:multiLvlStrCache>
                <c:ptCount val="51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  <c:pt idx="48">
                    <c:v>Jan</c:v>
                  </c:pt>
                  <c:pt idx="49">
                    <c:v>Feb</c:v>
                  </c:pt>
                  <c:pt idx="50">
                    <c:v>Mar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  <c:pt idx="36">
                    <c:v>2025</c:v>
                  </c:pt>
                  <c:pt idx="48">
                    <c:v>2026</c:v>
                  </c:pt>
                </c:lvl>
              </c:multiLvlStrCache>
            </c:multiLvlStrRef>
          </c:cat>
          <c:val>
            <c:numRef>
              <c:f>Sheet2!$J$4:$J$55</c:f>
              <c:numCache>
                <c:formatCode>_("$"* #,##0.00_);_("$"* \(#,##0.00\);_("$"* "-"??_);_(@_)</c:formatCode>
                <c:ptCount val="51"/>
                <c:pt idx="0">
                  <c:v>83.221999999999994</c:v>
                </c:pt>
                <c:pt idx="1">
                  <c:v>91.641052631578944</c:v>
                </c:pt>
                <c:pt idx="2">
                  <c:v>108.50260869565219</c:v>
                </c:pt>
                <c:pt idx="3">
                  <c:v>101.77749999999999</c:v>
                </c:pt>
                <c:pt idx="4">
                  <c:v>109.55238095238097</c:v>
                </c:pt>
                <c:pt idx="5">
                  <c:v>114.83714285714285</c:v>
                </c:pt>
                <c:pt idx="6">
                  <c:v>101.61899999999999</c:v>
                </c:pt>
                <c:pt idx="7">
                  <c:v>93.665217391304353</c:v>
                </c:pt>
                <c:pt idx="8">
                  <c:v>84.258095238095251</c:v>
                </c:pt>
                <c:pt idx="9">
                  <c:v>87.554761904761904</c:v>
                </c:pt>
                <c:pt idx="10">
                  <c:v>84.370476190476182</c:v>
                </c:pt>
                <c:pt idx="11">
                  <c:v>76.437142857142888</c:v>
                </c:pt>
                <c:pt idx="12">
                  <c:v>78.123000000000019</c:v>
                </c:pt>
                <c:pt idx="13">
                  <c:v>76.832631578947371</c:v>
                </c:pt>
                <c:pt idx="14">
                  <c:v>73.277826086956523</c:v>
                </c:pt>
                <c:pt idx="15">
                  <c:v>79.446315789473672</c:v>
                </c:pt>
                <c:pt idx="16">
                  <c:v>71.578181818181804</c:v>
                </c:pt>
                <c:pt idx="17">
                  <c:v>70.248095238095246</c:v>
                </c:pt>
                <c:pt idx="18">
                  <c:v>76.069499999999977</c:v>
                </c:pt>
                <c:pt idx="19">
                  <c:v>81.386086956521751</c:v>
                </c:pt>
                <c:pt idx="20">
                  <c:v>89.425000000000026</c:v>
                </c:pt>
                <c:pt idx="21">
                  <c:v>85.639523809523794</c:v>
                </c:pt>
                <c:pt idx="22">
                  <c:v>77.684999999999988</c:v>
                </c:pt>
                <c:pt idx="23">
                  <c:v>71.900000000000006</c:v>
                </c:pt>
                <c:pt idx="24">
                  <c:v>74.152380952380966</c:v>
                </c:pt>
                <c:pt idx="25">
                  <c:v>77.248999999999995</c:v>
                </c:pt>
                <c:pt idx="26">
                  <c:v>81.278000000000006</c:v>
                </c:pt>
                <c:pt idx="27">
                  <c:v>85.347272727272724</c:v>
                </c:pt>
                <c:pt idx="28">
                  <c:v>80.024545454545489</c:v>
                </c:pt>
                <c:pt idx="29">
                  <c:v>79.767368421052609</c:v>
                </c:pt>
                <c:pt idx="30">
                  <c:v>81.800454545454542</c:v>
                </c:pt>
                <c:pt idx="31">
                  <c:v>76.683181818181822</c:v>
                </c:pt>
                <c:pt idx="32">
                  <c:v>70.236000000000004</c:v>
                </c:pt>
                <c:pt idx="33">
                  <c:v>71.984999999999999</c:v>
                </c:pt>
                <c:pt idx="34">
                  <c:v>69.95</c:v>
                </c:pt>
                <c:pt idx="35">
                  <c:v>70.118095238095222</c:v>
                </c:pt>
                <c:pt idx="36">
                  <c:v>75.742500000000007</c:v>
                </c:pt>
                <c:pt idx="37">
                  <c:v>71.533157894736831</c:v>
                </c:pt>
                <c:pt idx="38">
                  <c:v>68.239047619047625</c:v>
                </c:pt>
                <c:pt idx="39">
                  <c:v>63.536666666666655</c:v>
                </c:pt>
                <c:pt idx="40">
                  <c:v>62.167619047619048</c:v>
                </c:pt>
                <c:pt idx="41">
                  <c:v>68.169000000000011</c:v>
                </c:pt>
                <c:pt idx="42">
                  <c:v>68.390909090909091</c:v>
                </c:pt>
                <c:pt idx="43">
                  <c:v>64.864285714285714</c:v>
                </c:pt>
                <c:pt idx="44">
                  <c:v>63.959047619047624</c:v>
                </c:pt>
                <c:pt idx="45">
                  <c:v>60.894545454545458</c:v>
                </c:pt>
                <c:pt idx="46">
                  <c:v>60.062222222222218</c:v>
                </c:pt>
                <c:pt idx="47">
                  <c:v>57.972272727272731</c:v>
                </c:pt>
                <c:pt idx="48">
                  <c:v>60.036999999999992</c:v>
                </c:pt>
                <c:pt idx="49">
                  <c:v>64.508421052631576</c:v>
                </c:pt>
                <c:pt idx="50">
                  <c:v>88.797500000000014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C2-476C-9691-47C279C82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894832"/>
        <c:axId val="196898192"/>
      </c:lineChart>
      <c:catAx>
        <c:axId val="1968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98192"/>
        <c:crosses val="autoZero"/>
        <c:auto val="1"/>
        <c:lblAlgn val="ctr"/>
        <c:lblOffset val="100"/>
        <c:noMultiLvlLbl val="0"/>
      </c:catAx>
      <c:valAx>
        <c:axId val="19689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552697</xdr:colOff>
      <xdr:row>30</xdr:row>
      <xdr:rowOff>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60F46A-2F34-4A6A-1C8D-A695DDF41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771897" cy="5563376"/>
        </a:xfrm>
        <a:prstGeom prst="rect">
          <a:avLst/>
        </a:prstGeom>
      </xdr:spPr>
    </xdr:pic>
    <xdr:clientData/>
  </xdr:twoCellAnchor>
  <xdr:twoCellAnchor editAs="oneCell">
    <xdr:from>
      <xdr:col>3</xdr:col>
      <xdr:colOff>581025</xdr:colOff>
      <xdr:row>1</xdr:row>
      <xdr:rowOff>19050</xdr:rowOff>
    </xdr:from>
    <xdr:to>
      <xdr:col>6</xdr:col>
      <xdr:colOff>524122</xdr:colOff>
      <xdr:row>30</xdr:row>
      <xdr:rowOff>57932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7AA529-560D-49EA-E9EC-2652E9294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09825" y="209550"/>
          <a:ext cx="1771897" cy="56014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2</xdr:row>
      <xdr:rowOff>95250</xdr:rowOff>
    </xdr:from>
    <xdr:to>
      <xdr:col>12</xdr:col>
      <xdr:colOff>66675</xdr:colOff>
      <xdr:row>15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A07E16-D774-4F0D-8972-93F19406E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325" y="476250"/>
          <a:ext cx="6305550" cy="2381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352424</xdr:colOff>
      <xdr:row>2</xdr:row>
      <xdr:rowOff>90486</xdr:rowOff>
    </xdr:from>
    <xdr:to>
      <xdr:col>20</xdr:col>
      <xdr:colOff>476249</xdr:colOff>
      <xdr:row>21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6CEAF1-54FF-6B62-43B0-D9FF651DA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 Walton" refreshedDate="46109.596607523148" createdVersion="8" refreshedVersion="8" minRefreshableVersion="3" recordCount="1086" xr:uid="{0082696F-C9A8-4C15-9CF4-E2DE5F03A604}">
  <cacheSource type="worksheet">
    <worksheetSource ref="B2:E1088" sheet="Sheet2"/>
  </cacheSource>
  <cacheFields count="7">
    <cacheField name="Date" numFmtId="164">
      <sharedItems containsSemiMixedTypes="0" containsNonDate="0" containsDate="1" containsString="0" minDate="2022-01-03T00:00:00" maxDate="2026-03-24T00:00:00" count="1086"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7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1T00:00:00"/>
        <d v="2022-02-22T00:00:00"/>
        <d v="2022-02-23T00:00:00"/>
        <d v="2022-02-24T00:00:00"/>
        <d v="2022-02-25T00:00:00"/>
        <d v="2022-02-28T00:00:00"/>
        <d v="2022-03-01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2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0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0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4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5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4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7T00:00:00"/>
        <d v="2022-12-28T00:00:00"/>
        <d v="2022-12-29T00:00:00"/>
        <d v="2022-12-30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6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0T00:00:00"/>
        <d v="2023-02-21T00:00:00"/>
        <d v="2023-02-22T00:00:00"/>
        <d v="2023-02-23T00:00:00"/>
        <d v="2023-02-24T00:00:00"/>
        <d v="2023-02-27T00:00:00"/>
        <d v="2023-02-28T00:00:00"/>
        <d v="2023-03-01T00:00:00"/>
        <d v="2023-03-02T00:00:00"/>
        <d v="2023-03-03T00:00:00"/>
        <d v="2023-03-06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29T00:00:00"/>
        <d v="2023-03-30T00:00:00"/>
        <d v="2023-03-31T00:00:00"/>
        <d v="2023-04-03T00:00:00"/>
        <d v="2023-04-04T00:00:00"/>
        <d v="2023-04-05T00:00:00"/>
        <d v="2023-04-06T00:00:00"/>
        <d v="2023-04-10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5-01T00:00:00"/>
        <d v="2023-05-02T00:00:00"/>
        <d v="2023-05-03T00:00:00"/>
        <d v="2023-05-04T00:00:00"/>
        <d v="2023-05-05T00:00:00"/>
        <d v="2023-05-08T00:00:00"/>
        <d v="2023-05-09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30T00:00:00"/>
        <d v="2023-05-31T00:00:00"/>
        <d v="2023-06-01T00:00:00"/>
        <d v="2023-06-02T00:00:00"/>
        <d v="2023-06-05T00:00:00"/>
        <d v="2023-06-06T00:00:00"/>
        <d v="2023-06-07T00:00:00"/>
        <d v="2023-06-08T00:00:00"/>
        <d v="2023-06-09T00:00:00"/>
        <d v="2023-06-12T00:00:00"/>
        <d v="2023-06-13T00:00:00"/>
        <d v="2023-06-14T00:00:00"/>
        <d v="2023-06-15T00:00:00"/>
        <d v="2023-06-16T00:00:00"/>
        <d v="2023-06-19T00:00:00"/>
        <d v="2023-06-20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6-30T00:00:00"/>
        <d v="2023-07-03T00:00:00"/>
        <d v="2023-07-04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5T00:00:00"/>
        <d v="2023-08-16T00:00:00"/>
        <d v="2023-08-17T00:00:00"/>
        <d v="2023-08-18T00:00:00"/>
        <d v="2023-08-21T00:00:00"/>
        <d v="2023-08-22T00:00:00"/>
        <d v="2023-08-23T00:00:00"/>
        <d v="2023-08-24T00:00:00"/>
        <d v="2023-08-25T00:00:00"/>
        <d v="2023-08-28T00:00:00"/>
        <d v="2023-08-29T00:00:00"/>
        <d v="2023-08-30T00:00:00"/>
        <d v="2023-08-31T00:00:00"/>
        <d v="2023-09-01T00:00:00"/>
        <d v="2023-09-04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2T00:00:00"/>
        <d v="2023-10-03T00:00:00"/>
        <d v="2023-10-04T00:00:00"/>
        <d v="2023-10-05T00:00:00"/>
        <d v="2023-10-06T00:00:00"/>
        <d v="2023-10-09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6T00:00:00"/>
        <d v="2023-11-07T00:00:00"/>
        <d v="2023-11-08T00:00:00"/>
        <d v="2023-11-09T00:00:00"/>
        <d v="2023-11-10T00:00:00"/>
        <d v="2023-11-13T00:00:00"/>
        <d v="2023-11-14T00:00:00"/>
        <d v="2023-11-15T00:00:00"/>
        <d v="2023-11-16T00:00:00"/>
        <d v="2023-11-17T00:00:00"/>
        <d v="2023-11-20T00:00:00"/>
        <d v="2023-11-21T00:00:00"/>
        <d v="2023-11-22T00:00:00"/>
        <d v="2023-11-23T00:00:00"/>
        <d v="2023-11-24T00:00:00"/>
        <d v="2023-11-27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08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6T00:00:00"/>
        <d v="2023-12-27T00:00:00"/>
        <d v="2023-12-28T00:00:00"/>
        <d v="2023-12-29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5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1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19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1T00:00:00"/>
        <d v="2024-07-02T00:00:00"/>
        <d v="2024-07-03T00:00:00"/>
        <d v="2024-07-04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2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1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19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7T00:00:00"/>
        <d v="2025-11-28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6T00:00:00"/>
        <d v="2025-12-29T00:00:00"/>
        <d v="2025-12-30T00:00:00"/>
        <d v="2025-12-31T00:00:00"/>
        <d v="2026-01-02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9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6T00:00:00"/>
        <d v="2026-02-17T00:00:00"/>
        <d v="2026-02-18T00:00:00"/>
        <d v="2026-02-19T00:00:00"/>
        <d v="2026-02-20T00:00:00"/>
        <d v="2026-02-23T00:00:00"/>
        <d v="2026-02-24T00:00:00"/>
        <d v="2026-02-25T00:00:00"/>
        <d v="2026-02-26T00:00:00"/>
        <d v="2026-02-27T00:00:00"/>
        <d v="2026-03-02T00:00:00"/>
        <d v="2026-03-03T00:00:00"/>
        <d v="2026-03-04T00:00:00"/>
        <d v="2026-03-05T00:00:00"/>
        <d v="2026-03-06T00:00:00"/>
        <d v="2026-03-09T00:00:00"/>
        <d v="2026-03-10T00:00:00"/>
        <d v="2026-03-11T00:00:00"/>
        <d v="2026-03-12T00:00:00"/>
        <d v="2026-03-13T00:00:00"/>
        <d v="2026-03-16T00:00:00"/>
        <d v="2026-03-17T00:00:00"/>
        <d v="2026-03-18T00:00:00"/>
        <d v="2026-03-19T00:00:00"/>
        <d v="2026-03-20T00:00:00"/>
        <d v="2026-03-23T00:00:00"/>
      </sharedItems>
      <fieldGroup par="6"/>
    </cacheField>
    <cacheField name="YEAR" numFmtId="1">
      <sharedItems containsSemiMixedTypes="0" containsString="0" containsNumber="1" containsInteger="1" minValue="2022" maxValue="2026"/>
    </cacheField>
    <cacheField name="NO PRICE" numFmtId="1">
      <sharedItems count="2">
        <b v="1"/>
        <b v="0"/>
      </sharedItems>
    </cacheField>
    <cacheField name="OK WIT" numFmtId="0">
      <sharedItems containsString="0" containsBlank="1" containsNumber="1" minValue="55.44" maxValue="123.64"/>
    </cacheField>
    <cacheField name="Months (Date)" numFmtId="0" databaseField="0">
      <fieldGroup base="0">
        <rangePr groupBy="months" startDate="2022-01-03T00:00:00" endDate="2026-03-24T00:00:00"/>
        <groupItems count="14">
          <s v="&lt;1/3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24/2026"/>
        </groupItems>
      </fieldGroup>
    </cacheField>
    <cacheField name="Quarters (Date)" numFmtId="0" databaseField="0">
      <fieldGroup base="0">
        <rangePr groupBy="quarters" startDate="2022-01-03T00:00:00" endDate="2026-03-24T00:00:00"/>
        <groupItems count="6">
          <s v="&lt;1/3/2022"/>
          <s v="Qtr1"/>
          <s v="Qtr2"/>
          <s v="Qtr3"/>
          <s v="Qtr4"/>
          <s v="&gt;3/24/2026"/>
        </groupItems>
      </fieldGroup>
    </cacheField>
    <cacheField name="Years (Date)" numFmtId="0" databaseField="0">
      <fieldGroup base="0">
        <rangePr groupBy="years" startDate="2022-01-03T00:00:00" endDate="2026-03-24T00:00:00"/>
        <groupItems count="7">
          <s v="&lt;1/3/2022"/>
          <s v="2022"/>
          <s v="2023"/>
          <s v="2024"/>
          <s v="2025"/>
          <s v="2026"/>
          <s v="&gt;3/2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 Walton" refreshedDate="46109.599726157408" createdVersion="8" refreshedVersion="8" minRefreshableVersion="3" recordCount="51" xr:uid="{4891565F-223B-4A6E-B669-C761F91B3016}">
  <cacheSource type="worksheet">
    <worksheetSource ref="N2:R53" sheet="Sheet1"/>
  </cacheSource>
  <cacheFields count="4">
    <cacheField name="Month" numFmtId="0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Year" numFmtId="0">
      <sharedItems containsSemiMixedTypes="0" containsString="0" containsNumber="1" containsInteger="1" minValue="2022" maxValue="2026" count="5">
        <n v="2022"/>
        <n v="2023"/>
        <n v="2024"/>
        <n v="2025"/>
        <n v="2026"/>
      </sharedItems>
    </cacheField>
    <cacheField name="DIESEL" numFmtId="44">
      <sharedItems containsSemiMixedTypes="0" containsString="0" containsNumber="1" minValue="78.55" maxValue="121.53"/>
    </cacheField>
    <cacheField name="WIT Crude" numFmtId="44">
      <sharedItems containsSemiMixedTypes="0" containsString="0" containsNumber="1" minValue="57.972272727272731" maxValue="114.837142857142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6">
  <r>
    <x v="0"/>
    <n v="2022"/>
    <x v="0"/>
    <n v="75.989999999999995"/>
  </r>
  <r>
    <x v="1"/>
    <n v="2022"/>
    <x v="0"/>
    <n v="77"/>
  </r>
  <r>
    <x v="2"/>
    <n v="2022"/>
    <x v="0"/>
    <n v="77.83"/>
  </r>
  <r>
    <x v="3"/>
    <n v="2022"/>
    <x v="0"/>
    <n v="79.47"/>
  </r>
  <r>
    <x v="4"/>
    <n v="2022"/>
    <x v="0"/>
    <n v="79"/>
  </r>
  <r>
    <x v="5"/>
    <n v="2022"/>
    <x v="0"/>
    <n v="78.11"/>
  </r>
  <r>
    <x v="6"/>
    <n v="2022"/>
    <x v="0"/>
    <n v="81.17"/>
  </r>
  <r>
    <x v="7"/>
    <n v="2022"/>
    <x v="0"/>
    <n v="82.51"/>
  </r>
  <r>
    <x v="8"/>
    <n v="2022"/>
    <x v="0"/>
    <n v="81.97"/>
  </r>
  <r>
    <x v="9"/>
    <n v="2022"/>
    <x v="0"/>
    <n v="83.82"/>
  </r>
  <r>
    <x v="10"/>
    <n v="2022"/>
    <x v="1"/>
    <m/>
  </r>
  <r>
    <x v="11"/>
    <n v="2022"/>
    <x v="0"/>
    <n v="85.42"/>
  </r>
  <r>
    <x v="12"/>
    <n v="2022"/>
    <x v="0"/>
    <n v="86.84"/>
  </r>
  <r>
    <x v="13"/>
    <n v="2022"/>
    <x v="0"/>
    <n v="86.29"/>
  </r>
  <r>
    <x v="14"/>
    <n v="2022"/>
    <x v="0"/>
    <n v="85.16"/>
  </r>
  <r>
    <x v="15"/>
    <n v="2022"/>
    <x v="0"/>
    <n v="84.48"/>
  </r>
  <r>
    <x v="16"/>
    <n v="2022"/>
    <x v="0"/>
    <n v="86.61"/>
  </r>
  <r>
    <x v="17"/>
    <n v="2022"/>
    <x v="0"/>
    <n v="88.33"/>
  </r>
  <r>
    <x v="18"/>
    <n v="2022"/>
    <x v="0"/>
    <n v="87.61"/>
  </r>
  <r>
    <x v="19"/>
    <n v="2022"/>
    <x v="0"/>
    <n v="87.67"/>
  </r>
  <r>
    <x v="20"/>
    <n v="2022"/>
    <x v="0"/>
    <n v="89.16"/>
  </r>
  <r>
    <x v="21"/>
    <n v="2022"/>
    <x v="0"/>
    <n v="88.22"/>
  </r>
  <r>
    <x v="22"/>
    <n v="2022"/>
    <x v="0"/>
    <n v="88.16"/>
  </r>
  <r>
    <x v="23"/>
    <n v="2022"/>
    <x v="0"/>
    <n v="90.17"/>
  </r>
  <r>
    <x v="24"/>
    <n v="2022"/>
    <x v="0"/>
    <n v="92.27"/>
  </r>
  <r>
    <x v="25"/>
    <n v="2022"/>
    <x v="0"/>
    <n v="91.25"/>
  </r>
  <r>
    <x v="26"/>
    <n v="2022"/>
    <x v="0"/>
    <n v="89.32"/>
  </r>
  <r>
    <x v="27"/>
    <n v="2022"/>
    <x v="0"/>
    <n v="89.57"/>
  </r>
  <r>
    <x v="28"/>
    <n v="2022"/>
    <x v="0"/>
    <n v="89.83"/>
  </r>
  <r>
    <x v="29"/>
    <n v="2022"/>
    <x v="0"/>
    <n v="93.1"/>
  </r>
  <r>
    <x v="30"/>
    <n v="2022"/>
    <x v="0"/>
    <n v="95.52"/>
  </r>
  <r>
    <x v="31"/>
    <n v="2022"/>
    <x v="0"/>
    <n v="92.07"/>
  </r>
  <r>
    <x v="32"/>
    <n v="2022"/>
    <x v="0"/>
    <n v="93.83"/>
  </r>
  <r>
    <x v="33"/>
    <n v="2022"/>
    <x v="0"/>
    <n v="91.78"/>
  </r>
  <r>
    <x v="34"/>
    <n v="2022"/>
    <x v="0"/>
    <n v="91.26"/>
  </r>
  <r>
    <x v="35"/>
    <n v="2022"/>
    <x v="1"/>
    <m/>
  </r>
  <r>
    <x v="36"/>
    <n v="2022"/>
    <x v="0"/>
    <n v="92.11"/>
  </r>
  <r>
    <x v="37"/>
    <n v="2022"/>
    <x v="0"/>
    <n v="92.14"/>
  </r>
  <r>
    <x v="38"/>
    <n v="2022"/>
    <x v="0"/>
    <n v="92.77"/>
  </r>
  <r>
    <x v="39"/>
    <n v="2022"/>
    <x v="0"/>
    <n v="91.68"/>
  </r>
  <r>
    <x v="40"/>
    <n v="2022"/>
    <x v="0"/>
    <n v="96.13"/>
  </r>
  <r>
    <x v="41"/>
    <n v="2022"/>
    <x v="0"/>
    <n v="103.66"/>
  </r>
  <r>
    <x v="42"/>
    <n v="2022"/>
    <x v="0"/>
    <n v="110.74"/>
  </r>
  <r>
    <x v="43"/>
    <n v="2022"/>
    <x v="0"/>
    <n v="107.69"/>
  </r>
  <r>
    <x v="44"/>
    <n v="2022"/>
    <x v="0"/>
    <n v="115.77"/>
  </r>
  <r>
    <x v="45"/>
    <n v="2022"/>
    <x v="0"/>
    <n v="119.26"/>
  </r>
  <r>
    <x v="46"/>
    <n v="2022"/>
    <x v="0"/>
    <n v="123.64"/>
  </r>
  <r>
    <x v="47"/>
    <n v="2022"/>
    <x v="0"/>
    <n v="108.81"/>
  </r>
  <r>
    <x v="48"/>
    <n v="2022"/>
    <x v="0"/>
    <n v="105.93"/>
  </r>
  <r>
    <x v="49"/>
    <n v="2022"/>
    <x v="0"/>
    <n v="109.31"/>
  </r>
  <r>
    <x v="50"/>
    <n v="2022"/>
    <x v="0"/>
    <n v="103.22"/>
  </r>
  <r>
    <x v="51"/>
    <n v="2022"/>
    <x v="0"/>
    <n v="96.42"/>
  </r>
  <r>
    <x v="52"/>
    <n v="2022"/>
    <x v="0"/>
    <n v="94.85"/>
  </r>
  <r>
    <x v="53"/>
    <n v="2022"/>
    <x v="0"/>
    <n v="102.97"/>
  </r>
  <r>
    <x v="54"/>
    <n v="2022"/>
    <x v="0"/>
    <n v="104.69"/>
  </r>
  <r>
    <x v="55"/>
    <n v="2022"/>
    <x v="0"/>
    <n v="112.14"/>
  </r>
  <r>
    <x v="56"/>
    <n v="2022"/>
    <x v="0"/>
    <n v="111.03"/>
  </r>
  <r>
    <x v="57"/>
    <n v="2022"/>
    <x v="0"/>
    <n v="114.89"/>
  </r>
  <r>
    <x v="58"/>
    <n v="2022"/>
    <x v="0"/>
    <n v="114.2"/>
  </r>
  <r>
    <x v="59"/>
    <n v="2022"/>
    <x v="0"/>
    <n v="116.2"/>
  </r>
  <r>
    <x v="60"/>
    <n v="2022"/>
    <x v="0"/>
    <n v="107.55"/>
  </r>
  <r>
    <x v="61"/>
    <n v="2022"/>
    <x v="0"/>
    <n v="104.25"/>
  </r>
  <r>
    <x v="62"/>
    <n v="2022"/>
    <x v="0"/>
    <n v="107.81"/>
  </r>
  <r>
    <x v="63"/>
    <n v="2022"/>
    <x v="0"/>
    <n v="100.53"/>
  </r>
  <r>
    <x v="64"/>
    <n v="2022"/>
    <x v="0"/>
    <n v="99.32"/>
  </r>
  <r>
    <x v="65"/>
    <n v="2022"/>
    <x v="0"/>
    <n v="103.29"/>
  </r>
  <r>
    <x v="66"/>
    <n v="2022"/>
    <x v="0"/>
    <n v="101.98"/>
  </r>
  <r>
    <x v="67"/>
    <n v="2022"/>
    <x v="0"/>
    <n v="96.39"/>
  </r>
  <r>
    <x v="68"/>
    <n v="2022"/>
    <x v="0"/>
    <n v="96.05"/>
  </r>
  <r>
    <x v="69"/>
    <n v="2022"/>
    <x v="0"/>
    <n v="98.35"/>
  </r>
  <r>
    <x v="70"/>
    <n v="2022"/>
    <x v="0"/>
    <n v="94.22"/>
  </r>
  <r>
    <x v="71"/>
    <n v="2022"/>
    <x v="0"/>
    <n v="100.52"/>
  </r>
  <r>
    <x v="72"/>
    <n v="2022"/>
    <x v="0"/>
    <n v="104.26"/>
  </r>
  <r>
    <x v="73"/>
    <n v="2022"/>
    <x v="0"/>
    <n v="106.84"/>
  </r>
  <r>
    <x v="74"/>
    <n v="2022"/>
    <x v="0"/>
    <n v="108.24"/>
  </r>
  <r>
    <x v="75"/>
    <n v="2022"/>
    <x v="0"/>
    <n v="102.54"/>
  </r>
  <r>
    <x v="76"/>
    <n v="2022"/>
    <x v="0"/>
    <n v="102.56"/>
  </r>
  <r>
    <x v="77"/>
    <n v="2022"/>
    <x v="0"/>
    <n v="103.89"/>
  </r>
  <r>
    <x v="78"/>
    <n v="2022"/>
    <x v="0"/>
    <n v="102.86"/>
  </r>
  <r>
    <x v="79"/>
    <n v="2022"/>
    <x v="0"/>
    <n v="99.6"/>
  </r>
  <r>
    <x v="80"/>
    <n v="2022"/>
    <x v="0"/>
    <n v="102.62"/>
  </r>
  <r>
    <x v="81"/>
    <n v="2022"/>
    <x v="0"/>
    <n v="101.96"/>
  </r>
  <r>
    <x v="82"/>
    <n v="2022"/>
    <x v="0"/>
    <n v="105.47"/>
  </r>
  <r>
    <x v="83"/>
    <n v="2022"/>
    <x v="0"/>
    <n v="104.59"/>
  </r>
  <r>
    <x v="84"/>
    <n v="2022"/>
    <x v="0"/>
    <n v="105.18"/>
  </r>
  <r>
    <x v="85"/>
    <n v="2022"/>
    <x v="0"/>
    <n v="102.53"/>
  </r>
  <r>
    <x v="86"/>
    <n v="2022"/>
    <x v="0"/>
    <n v="107.84"/>
  </r>
  <r>
    <x v="87"/>
    <n v="2022"/>
    <x v="0"/>
    <n v="108.17"/>
  </r>
  <r>
    <x v="88"/>
    <n v="2022"/>
    <x v="0"/>
    <n v="109.72"/>
  </r>
  <r>
    <x v="89"/>
    <n v="2022"/>
    <x v="0"/>
    <n v="103.08"/>
  </r>
  <r>
    <x v="90"/>
    <n v="2022"/>
    <x v="0"/>
    <n v="99.74"/>
  </r>
  <r>
    <x v="91"/>
    <n v="2022"/>
    <x v="0"/>
    <n v="105.5"/>
  </r>
  <r>
    <x v="92"/>
    <n v="2022"/>
    <x v="0"/>
    <n v="106.15"/>
  </r>
  <r>
    <x v="93"/>
    <n v="2022"/>
    <x v="0"/>
    <n v="110.52"/>
  </r>
  <r>
    <x v="94"/>
    <n v="2022"/>
    <x v="0"/>
    <n v="114.07"/>
  </r>
  <r>
    <x v="95"/>
    <n v="2022"/>
    <x v="0"/>
    <n v="112.31"/>
  </r>
  <r>
    <x v="96"/>
    <n v="2022"/>
    <x v="0"/>
    <n v="109.67"/>
  </r>
  <r>
    <x v="97"/>
    <n v="2022"/>
    <x v="0"/>
    <n v="112.21"/>
  </r>
  <r>
    <x v="98"/>
    <n v="2022"/>
    <x v="0"/>
    <n v="112.63"/>
  </r>
  <r>
    <x v="99"/>
    <n v="2022"/>
    <x v="0"/>
    <n v="110.32"/>
  </r>
  <r>
    <x v="100"/>
    <n v="2022"/>
    <x v="0"/>
    <n v="112.55"/>
  </r>
  <r>
    <x v="101"/>
    <n v="2022"/>
    <x v="0"/>
    <n v="112.88"/>
  </r>
  <r>
    <x v="102"/>
    <n v="2022"/>
    <x v="0"/>
    <n v="116.19"/>
  </r>
  <r>
    <x v="103"/>
    <n v="2022"/>
    <x v="0"/>
    <n v="114.96"/>
  </r>
  <r>
    <x v="104"/>
    <n v="2022"/>
    <x v="1"/>
    <m/>
  </r>
  <r>
    <x v="105"/>
    <n v="2022"/>
    <x v="0"/>
    <n v="114.38"/>
  </r>
  <r>
    <x v="106"/>
    <n v="2022"/>
    <x v="0"/>
    <n v="115.26"/>
  </r>
  <r>
    <x v="107"/>
    <n v="2022"/>
    <x v="0"/>
    <n v="116.88"/>
  </r>
  <r>
    <x v="108"/>
    <n v="2022"/>
    <x v="0"/>
    <n v="118.97"/>
  </r>
  <r>
    <x v="109"/>
    <n v="2022"/>
    <x v="0"/>
    <n v="118.41"/>
  </r>
  <r>
    <x v="110"/>
    <n v="2022"/>
    <x v="0"/>
    <n v="119.55"/>
  </r>
  <r>
    <x v="111"/>
    <n v="2022"/>
    <x v="0"/>
    <n v="121.94"/>
  </r>
  <r>
    <x v="112"/>
    <n v="2022"/>
    <x v="0"/>
    <n v="121.52"/>
  </r>
  <r>
    <x v="113"/>
    <n v="2022"/>
    <x v="0"/>
    <n v="120.73"/>
  </r>
  <r>
    <x v="114"/>
    <n v="2022"/>
    <x v="0"/>
    <n v="120.92"/>
  </r>
  <r>
    <x v="115"/>
    <n v="2022"/>
    <x v="0"/>
    <n v="118.92"/>
  </r>
  <r>
    <x v="116"/>
    <n v="2022"/>
    <x v="0"/>
    <n v="115.32"/>
  </r>
  <r>
    <x v="117"/>
    <n v="2022"/>
    <x v="0"/>
    <n v="117.56"/>
  </r>
  <r>
    <x v="118"/>
    <n v="2022"/>
    <x v="0"/>
    <n v="109.56"/>
  </r>
  <r>
    <x v="119"/>
    <n v="2022"/>
    <x v="1"/>
    <m/>
  </r>
  <r>
    <x v="120"/>
    <n v="2022"/>
    <x v="0"/>
    <n v="110.49"/>
  </r>
  <r>
    <x v="121"/>
    <n v="2022"/>
    <x v="0"/>
    <n v="106.22"/>
  </r>
  <r>
    <x v="122"/>
    <n v="2022"/>
    <x v="0"/>
    <n v="105.75"/>
  </r>
  <r>
    <x v="123"/>
    <n v="2022"/>
    <x v="0"/>
    <n v="109.07"/>
  </r>
  <r>
    <x v="124"/>
    <n v="2022"/>
    <x v="0"/>
    <n v="111.44"/>
  </r>
  <r>
    <x v="125"/>
    <n v="2022"/>
    <x v="0"/>
    <n v="113.66"/>
  </r>
  <r>
    <x v="126"/>
    <n v="2022"/>
    <x v="0"/>
    <n v="111.65"/>
  </r>
  <r>
    <x v="127"/>
    <n v="2022"/>
    <x v="0"/>
    <n v="107.76"/>
  </r>
  <r>
    <x v="128"/>
    <n v="2022"/>
    <x v="0"/>
    <n v="110.3"/>
  </r>
  <r>
    <x v="129"/>
    <n v="2022"/>
    <x v="1"/>
    <m/>
  </r>
  <r>
    <x v="130"/>
    <n v="2022"/>
    <x v="0"/>
    <n v="101.55"/>
  </r>
  <r>
    <x v="131"/>
    <n v="2022"/>
    <x v="0"/>
    <n v="100.31"/>
  </r>
  <r>
    <x v="132"/>
    <n v="2022"/>
    <x v="0"/>
    <n v="104.62"/>
  </r>
  <r>
    <x v="133"/>
    <n v="2022"/>
    <x v="0"/>
    <n v="106.78"/>
  </r>
  <r>
    <x v="134"/>
    <n v="2022"/>
    <x v="0"/>
    <n v="106.09"/>
  </r>
  <r>
    <x v="135"/>
    <n v="2022"/>
    <x v="0"/>
    <n v="97.69"/>
  </r>
  <r>
    <x v="136"/>
    <n v="2022"/>
    <x v="0"/>
    <n v="98.44"/>
  </r>
  <r>
    <x v="137"/>
    <n v="2022"/>
    <x v="0"/>
    <n v="97.79"/>
  </r>
  <r>
    <x v="138"/>
    <n v="2022"/>
    <x v="0"/>
    <n v="99.59"/>
  </r>
  <r>
    <x v="139"/>
    <n v="2022"/>
    <x v="0"/>
    <n v="104.48"/>
  </r>
  <r>
    <x v="140"/>
    <n v="2022"/>
    <x v="0"/>
    <n v="106.12"/>
  </r>
  <r>
    <x v="141"/>
    <n v="2022"/>
    <x v="0"/>
    <n v="104.45"/>
  </r>
  <r>
    <x v="142"/>
    <n v="2022"/>
    <x v="0"/>
    <n v="98.44"/>
  </r>
  <r>
    <x v="143"/>
    <n v="2022"/>
    <x v="0"/>
    <n v="97.71"/>
  </r>
  <r>
    <x v="144"/>
    <n v="2022"/>
    <x v="0"/>
    <n v="99.83"/>
  </r>
  <r>
    <x v="145"/>
    <n v="2022"/>
    <x v="0"/>
    <n v="97.74"/>
  </r>
  <r>
    <x v="146"/>
    <n v="2022"/>
    <x v="0"/>
    <n v="100.03"/>
  </r>
  <r>
    <x v="147"/>
    <n v="2022"/>
    <x v="0"/>
    <n v="99.11"/>
  </r>
  <r>
    <x v="148"/>
    <n v="2022"/>
    <x v="0"/>
    <n v="101.31"/>
  </r>
  <r>
    <x v="149"/>
    <n v="2022"/>
    <x v="0"/>
    <n v="96.59"/>
  </r>
  <r>
    <x v="150"/>
    <n v="2022"/>
    <x v="0"/>
    <n v="97.14"/>
  </r>
  <r>
    <x v="151"/>
    <n v="2022"/>
    <x v="0"/>
    <n v="93.25"/>
  </r>
  <r>
    <x v="152"/>
    <n v="2022"/>
    <x v="0"/>
    <n v="91.29"/>
  </r>
  <r>
    <x v="153"/>
    <n v="2022"/>
    <x v="0"/>
    <n v="91.77"/>
  </r>
  <r>
    <x v="154"/>
    <n v="2022"/>
    <x v="0"/>
    <n v="93.52"/>
  </r>
  <r>
    <x v="155"/>
    <n v="2022"/>
    <x v="0"/>
    <n v="93.18"/>
  </r>
  <r>
    <x v="156"/>
    <n v="2022"/>
    <x v="0"/>
    <n v="94.68"/>
  </r>
  <r>
    <x v="157"/>
    <n v="2022"/>
    <x v="0"/>
    <n v="97.02"/>
  </r>
  <r>
    <x v="158"/>
    <n v="2022"/>
    <x v="0"/>
    <n v="94.86"/>
  </r>
  <r>
    <x v="159"/>
    <n v="2022"/>
    <x v="0"/>
    <n v="92.24"/>
  </r>
  <r>
    <x v="160"/>
    <n v="2022"/>
    <x v="0"/>
    <n v="89.23"/>
  </r>
  <r>
    <x v="161"/>
    <n v="2022"/>
    <x v="0"/>
    <n v="90.85"/>
  </r>
  <r>
    <x v="162"/>
    <n v="2022"/>
    <x v="0"/>
    <n v="93.2"/>
  </r>
  <r>
    <x v="163"/>
    <n v="2022"/>
    <x v="0"/>
    <n v="93.55"/>
  </r>
  <r>
    <x v="164"/>
    <n v="2022"/>
    <x v="0"/>
    <n v="93.42"/>
  </r>
  <r>
    <x v="165"/>
    <n v="2022"/>
    <x v="0"/>
    <n v="96.46"/>
  </r>
  <r>
    <x v="166"/>
    <n v="2022"/>
    <x v="0"/>
    <n v="95.52"/>
  </r>
  <r>
    <x v="167"/>
    <n v="2022"/>
    <x v="0"/>
    <n v="93.33"/>
  </r>
  <r>
    <x v="168"/>
    <n v="2022"/>
    <x v="0"/>
    <n v="93.63"/>
  </r>
  <r>
    <x v="169"/>
    <n v="2022"/>
    <x v="0"/>
    <n v="97.4"/>
  </r>
  <r>
    <x v="170"/>
    <n v="2022"/>
    <x v="0"/>
    <n v="92.08"/>
  </r>
  <r>
    <x v="171"/>
    <n v="2022"/>
    <x v="0"/>
    <n v="90.09"/>
  </r>
  <r>
    <x v="172"/>
    <n v="2022"/>
    <x v="0"/>
    <n v="87.09"/>
  </r>
  <r>
    <x v="173"/>
    <n v="2022"/>
    <x v="0"/>
    <n v="87.29"/>
  </r>
  <r>
    <x v="174"/>
    <n v="2022"/>
    <x v="1"/>
    <m/>
  </r>
  <r>
    <x v="175"/>
    <n v="2022"/>
    <x v="0"/>
    <n v="87.35"/>
  </r>
  <r>
    <x v="176"/>
    <n v="2022"/>
    <x v="0"/>
    <n v="82.5"/>
  </r>
  <r>
    <x v="177"/>
    <n v="2022"/>
    <x v="0"/>
    <n v="84.04"/>
  </r>
  <r>
    <x v="178"/>
    <n v="2022"/>
    <x v="0"/>
    <n v="87.27"/>
  </r>
  <r>
    <x v="179"/>
    <n v="2022"/>
    <x v="0"/>
    <n v="88.18"/>
  </r>
  <r>
    <x v="180"/>
    <n v="2022"/>
    <x v="0"/>
    <n v="87.84"/>
  </r>
  <r>
    <x v="181"/>
    <n v="2022"/>
    <x v="0"/>
    <n v="88.88"/>
  </r>
  <r>
    <x v="182"/>
    <n v="2022"/>
    <x v="0"/>
    <n v="85.72"/>
  </r>
  <r>
    <x v="183"/>
    <n v="2022"/>
    <x v="0"/>
    <n v="85.57"/>
  </r>
  <r>
    <x v="184"/>
    <n v="2022"/>
    <x v="0"/>
    <n v="86.15"/>
  </r>
  <r>
    <x v="185"/>
    <n v="2022"/>
    <x v="0"/>
    <n v="84.69"/>
  </r>
  <r>
    <x v="186"/>
    <n v="2022"/>
    <x v="0"/>
    <n v="83.38"/>
  </r>
  <r>
    <x v="187"/>
    <n v="2022"/>
    <x v="0"/>
    <n v="84.02"/>
  </r>
  <r>
    <x v="188"/>
    <n v="2022"/>
    <x v="0"/>
    <n v="79.069999999999993"/>
  </r>
  <r>
    <x v="189"/>
    <n v="2022"/>
    <x v="0"/>
    <n v="77.17"/>
  </r>
  <r>
    <x v="190"/>
    <n v="2022"/>
    <x v="0"/>
    <n v="78.91"/>
  </r>
  <r>
    <x v="191"/>
    <n v="2022"/>
    <x v="0"/>
    <n v="82.61"/>
  </r>
  <r>
    <x v="192"/>
    <n v="2022"/>
    <x v="0"/>
    <n v="81.78"/>
  </r>
  <r>
    <x v="193"/>
    <n v="2022"/>
    <x v="0"/>
    <n v="79.91"/>
  </r>
  <r>
    <x v="194"/>
    <n v="2022"/>
    <x v="0"/>
    <n v="84.05"/>
  </r>
  <r>
    <x v="195"/>
    <n v="2022"/>
    <x v="0"/>
    <n v="86.87"/>
  </r>
  <r>
    <x v="196"/>
    <n v="2022"/>
    <x v="0"/>
    <n v="88.22"/>
  </r>
  <r>
    <x v="197"/>
    <n v="2022"/>
    <x v="0"/>
    <n v="88.9"/>
  </r>
  <r>
    <x v="198"/>
    <n v="2022"/>
    <x v="0"/>
    <n v="93.07"/>
  </r>
  <r>
    <x v="199"/>
    <n v="2022"/>
    <x v="0"/>
    <n v="91.6"/>
  </r>
  <r>
    <x v="200"/>
    <n v="2022"/>
    <x v="0"/>
    <n v="89.75"/>
  </r>
  <r>
    <x v="201"/>
    <n v="2022"/>
    <x v="0"/>
    <n v="87.83"/>
  </r>
  <r>
    <x v="202"/>
    <n v="2022"/>
    <x v="0"/>
    <n v="89.59"/>
  </r>
  <r>
    <x v="203"/>
    <n v="2022"/>
    <x v="0"/>
    <n v="86.1"/>
  </r>
  <r>
    <x v="204"/>
    <n v="2022"/>
    <x v="0"/>
    <n v="86"/>
  </r>
  <r>
    <x v="205"/>
    <n v="2022"/>
    <x v="0"/>
    <n v="83.29"/>
  </r>
  <r>
    <x v="206"/>
    <n v="2022"/>
    <x v="0"/>
    <n v="86"/>
  </r>
  <r>
    <x v="207"/>
    <n v="2022"/>
    <x v="0"/>
    <n v="86.02"/>
  </r>
  <r>
    <x v="208"/>
    <n v="2022"/>
    <x v="0"/>
    <n v="85.47"/>
  </r>
  <r>
    <x v="209"/>
    <n v="2022"/>
    <x v="0"/>
    <n v="86.12"/>
  </r>
  <r>
    <x v="210"/>
    <n v="2022"/>
    <x v="0"/>
    <n v="86.93"/>
  </r>
  <r>
    <x v="211"/>
    <n v="2022"/>
    <x v="0"/>
    <n v="89.39"/>
  </r>
  <r>
    <x v="212"/>
    <n v="2022"/>
    <x v="0"/>
    <n v="89.06"/>
  </r>
  <r>
    <x v="213"/>
    <n v="2022"/>
    <x v="0"/>
    <n v="87.85"/>
  </r>
  <r>
    <x v="214"/>
    <n v="2022"/>
    <x v="0"/>
    <n v="86.54"/>
  </r>
  <r>
    <x v="215"/>
    <n v="2022"/>
    <x v="0"/>
    <n v="88.36"/>
  </r>
  <r>
    <x v="216"/>
    <n v="2022"/>
    <x v="0"/>
    <n v="90.06"/>
  </r>
  <r>
    <x v="217"/>
    <n v="2022"/>
    <x v="0"/>
    <n v="88.14"/>
  </r>
  <r>
    <x v="218"/>
    <n v="2022"/>
    <x v="0"/>
    <n v="92.58"/>
  </r>
  <r>
    <x v="219"/>
    <n v="2022"/>
    <x v="0"/>
    <n v="91.8"/>
  </r>
  <r>
    <x v="220"/>
    <n v="2022"/>
    <x v="0"/>
    <n v="88.8"/>
  </r>
  <r>
    <x v="221"/>
    <n v="2022"/>
    <x v="0"/>
    <n v="85.79"/>
  </r>
  <r>
    <x v="222"/>
    <n v="2022"/>
    <x v="0"/>
    <n v="86.52"/>
  </r>
  <r>
    <x v="223"/>
    <n v="2022"/>
    <x v="0"/>
    <n v="89.14"/>
  </r>
  <r>
    <x v="224"/>
    <n v="2022"/>
    <x v="0"/>
    <n v="85.85"/>
  </r>
  <r>
    <x v="225"/>
    <n v="2022"/>
    <x v="0"/>
    <n v="86.87"/>
  </r>
  <r>
    <x v="226"/>
    <n v="2022"/>
    <x v="0"/>
    <n v="85.62"/>
  </r>
  <r>
    <x v="227"/>
    <n v="2022"/>
    <x v="0"/>
    <n v="81.69"/>
  </r>
  <r>
    <x v="228"/>
    <n v="2022"/>
    <x v="0"/>
    <n v="80.069999999999993"/>
  </r>
  <r>
    <x v="229"/>
    <n v="2022"/>
    <x v="0"/>
    <n v="79.739999999999995"/>
  </r>
  <r>
    <x v="230"/>
    <n v="2022"/>
    <x v="0"/>
    <n v="80.83"/>
  </r>
  <r>
    <x v="231"/>
    <n v="2022"/>
    <x v="0"/>
    <n v="77.930000000000007"/>
  </r>
  <r>
    <x v="232"/>
    <n v="2022"/>
    <x v="1"/>
    <m/>
  </r>
  <r>
    <x v="233"/>
    <n v="2022"/>
    <x v="0"/>
    <n v="76.45"/>
  </r>
  <r>
    <x v="234"/>
    <n v="2022"/>
    <x v="0"/>
    <n v="77.099999999999994"/>
  </r>
  <r>
    <x v="235"/>
    <n v="2022"/>
    <x v="0"/>
    <n v="77.959999999999994"/>
  </r>
  <r>
    <x v="236"/>
    <n v="2022"/>
    <x v="0"/>
    <n v="80.48"/>
  </r>
  <r>
    <x v="237"/>
    <n v="2022"/>
    <x v="0"/>
    <n v="81.06"/>
  </r>
  <r>
    <x v="238"/>
    <n v="2022"/>
    <x v="0"/>
    <n v="79.86"/>
  </r>
  <r>
    <x v="239"/>
    <n v="2022"/>
    <x v="0"/>
    <n v="76.83"/>
  </r>
  <r>
    <x v="240"/>
    <n v="2022"/>
    <x v="0"/>
    <n v="74.209999999999994"/>
  </r>
  <r>
    <x v="241"/>
    <n v="2022"/>
    <x v="0"/>
    <n v="71.930000000000007"/>
  </r>
  <r>
    <x v="242"/>
    <n v="2022"/>
    <x v="0"/>
    <n v="71.3"/>
  </r>
  <r>
    <x v="243"/>
    <n v="2022"/>
    <x v="0"/>
    <n v="71.05"/>
  </r>
  <r>
    <x v="244"/>
    <n v="2022"/>
    <x v="0"/>
    <n v="72.959999999999994"/>
  </r>
  <r>
    <x v="245"/>
    <n v="2022"/>
    <x v="0"/>
    <n v="75.44"/>
  </r>
  <r>
    <x v="246"/>
    <n v="2022"/>
    <x v="0"/>
    <n v="77.14"/>
  </r>
  <r>
    <x v="247"/>
    <n v="2022"/>
    <x v="0"/>
    <n v="75.89"/>
  </r>
  <r>
    <x v="248"/>
    <n v="2022"/>
    <x v="0"/>
    <n v="74.19"/>
  </r>
  <r>
    <x v="249"/>
    <n v="2022"/>
    <x v="0"/>
    <n v="75.05"/>
  </r>
  <r>
    <x v="250"/>
    <n v="2022"/>
    <x v="0"/>
    <n v="75.92"/>
  </r>
  <r>
    <x v="251"/>
    <n v="2022"/>
    <x v="0"/>
    <n v="78.17"/>
  </r>
  <r>
    <x v="252"/>
    <n v="2022"/>
    <x v="0"/>
    <n v="77.680000000000007"/>
  </r>
  <r>
    <x v="253"/>
    <n v="2022"/>
    <x v="0"/>
    <n v="79.569999999999993"/>
  </r>
  <r>
    <x v="254"/>
    <n v="2022"/>
    <x v="0"/>
    <n v="79.45"/>
  </r>
  <r>
    <x v="255"/>
    <n v="2022"/>
    <x v="0"/>
    <n v="78.89"/>
  </r>
  <r>
    <x v="256"/>
    <n v="2022"/>
    <x v="0"/>
    <n v="78.430000000000007"/>
  </r>
  <r>
    <x v="257"/>
    <n v="2022"/>
    <x v="0"/>
    <n v="80.16"/>
  </r>
  <r>
    <x v="258"/>
    <n v="2023"/>
    <x v="0"/>
    <n v="76.87"/>
  </r>
  <r>
    <x v="259"/>
    <n v="2023"/>
    <x v="0"/>
    <n v="72.819999999999993"/>
  </r>
  <r>
    <x v="260"/>
    <n v="2023"/>
    <x v="0"/>
    <n v="73.61"/>
  </r>
  <r>
    <x v="261"/>
    <n v="2023"/>
    <x v="0"/>
    <n v="73.77"/>
  </r>
  <r>
    <x v="262"/>
    <n v="2023"/>
    <x v="0"/>
    <n v="74.69"/>
  </r>
  <r>
    <x v="263"/>
    <n v="2023"/>
    <x v="0"/>
    <n v="75.11"/>
  </r>
  <r>
    <x v="264"/>
    <n v="2023"/>
    <x v="0"/>
    <n v="77.459999999999994"/>
  </r>
  <r>
    <x v="265"/>
    <n v="2023"/>
    <x v="0"/>
    <n v="78.319999999999993"/>
  </r>
  <r>
    <x v="266"/>
    <n v="2023"/>
    <x v="0"/>
    <n v="79.900000000000006"/>
  </r>
  <r>
    <x v="267"/>
    <n v="2023"/>
    <x v="1"/>
    <m/>
  </r>
  <r>
    <x v="268"/>
    <n v="2023"/>
    <x v="0"/>
    <n v="80.25"/>
  </r>
  <r>
    <x v="269"/>
    <n v="2023"/>
    <x v="0"/>
    <n v="79.53"/>
  </r>
  <r>
    <x v="270"/>
    <n v="2023"/>
    <x v="0"/>
    <n v="80.31"/>
  </r>
  <r>
    <x v="271"/>
    <n v="2023"/>
    <x v="0"/>
    <n v="81.27"/>
  </r>
  <r>
    <x v="272"/>
    <n v="2023"/>
    <x v="0"/>
    <n v="81.62"/>
  </r>
  <r>
    <x v="273"/>
    <n v="2023"/>
    <x v="0"/>
    <n v="79.86"/>
  </r>
  <r>
    <x v="274"/>
    <n v="2023"/>
    <x v="0"/>
    <n v="79.78"/>
  </r>
  <r>
    <x v="275"/>
    <n v="2023"/>
    <x v="0"/>
    <n v="80.64"/>
  </r>
  <r>
    <x v="276"/>
    <n v="2023"/>
    <x v="0"/>
    <n v="79.73"/>
  </r>
  <r>
    <x v="277"/>
    <n v="2023"/>
    <x v="0"/>
    <n v="77.97"/>
  </r>
  <r>
    <x v="278"/>
    <n v="2023"/>
    <x v="0"/>
    <n v="78.95"/>
  </r>
  <r>
    <x v="279"/>
    <n v="2023"/>
    <x v="0"/>
    <n v="76.34"/>
  </r>
  <r>
    <x v="280"/>
    <n v="2023"/>
    <x v="0"/>
    <n v="75.87"/>
  </r>
  <r>
    <x v="281"/>
    <n v="2023"/>
    <x v="0"/>
    <n v="73.400000000000006"/>
  </r>
  <r>
    <x v="282"/>
    <n v="2023"/>
    <x v="0"/>
    <n v="74.11"/>
  </r>
  <r>
    <x v="283"/>
    <n v="2023"/>
    <x v="0"/>
    <n v="77.17"/>
  </r>
  <r>
    <x v="284"/>
    <n v="2023"/>
    <x v="0"/>
    <n v="78.47"/>
  </r>
  <r>
    <x v="285"/>
    <n v="2023"/>
    <x v="0"/>
    <n v="78.040000000000006"/>
  </r>
  <r>
    <x v="286"/>
    <n v="2023"/>
    <x v="0"/>
    <n v="79.739999999999995"/>
  </r>
  <r>
    <x v="287"/>
    <n v="2023"/>
    <x v="0"/>
    <n v="80.14"/>
  </r>
  <r>
    <x v="288"/>
    <n v="2023"/>
    <x v="0"/>
    <n v="79.08"/>
  </r>
  <r>
    <x v="289"/>
    <n v="2023"/>
    <x v="0"/>
    <n v="78.569999999999993"/>
  </r>
  <r>
    <x v="290"/>
    <n v="2023"/>
    <x v="0"/>
    <n v="78.45"/>
  </r>
  <r>
    <x v="291"/>
    <n v="2023"/>
    <x v="0"/>
    <n v="76.31"/>
  </r>
  <r>
    <x v="292"/>
    <n v="2023"/>
    <x v="1"/>
    <m/>
  </r>
  <r>
    <x v="293"/>
    <n v="2023"/>
    <x v="0"/>
    <n v="76.28"/>
  </r>
  <r>
    <x v="294"/>
    <n v="2023"/>
    <x v="0"/>
    <n v="73.95"/>
  </r>
  <r>
    <x v="295"/>
    <n v="2023"/>
    <x v="0"/>
    <n v="75.260000000000005"/>
  </r>
  <r>
    <x v="296"/>
    <n v="2023"/>
    <x v="0"/>
    <n v="76.19"/>
  </r>
  <r>
    <x v="297"/>
    <n v="2023"/>
    <x v="0"/>
    <n v="75.569999999999993"/>
  </r>
  <r>
    <x v="298"/>
    <n v="2023"/>
    <x v="0"/>
    <n v="76.88"/>
  </r>
  <r>
    <x v="299"/>
    <n v="2023"/>
    <x v="0"/>
    <n v="77.569999999999993"/>
  </r>
  <r>
    <x v="300"/>
    <n v="2023"/>
    <x v="0"/>
    <n v="78.05"/>
  </r>
  <r>
    <x v="301"/>
    <n v="2023"/>
    <x v="0"/>
    <n v="79.62"/>
  </r>
  <r>
    <x v="302"/>
    <n v="2023"/>
    <x v="0"/>
    <n v="80.39"/>
  </r>
  <r>
    <x v="303"/>
    <n v="2023"/>
    <x v="0"/>
    <n v="77.45"/>
  </r>
  <r>
    <x v="304"/>
    <n v="2023"/>
    <x v="0"/>
    <n v="76.56"/>
  </r>
  <r>
    <x v="305"/>
    <n v="2023"/>
    <x v="0"/>
    <n v="75.599999999999994"/>
  </r>
  <r>
    <x v="306"/>
    <n v="2023"/>
    <x v="0"/>
    <n v="76.55"/>
  </r>
  <r>
    <x v="307"/>
    <n v="2023"/>
    <x v="0"/>
    <n v="74.680000000000007"/>
  </r>
  <r>
    <x v="308"/>
    <n v="2023"/>
    <x v="0"/>
    <n v="71.180000000000007"/>
  </r>
  <r>
    <x v="309"/>
    <n v="2023"/>
    <x v="0"/>
    <n v="67.38"/>
  </r>
  <r>
    <x v="310"/>
    <n v="2023"/>
    <x v="0"/>
    <n v="68.150000000000006"/>
  </r>
  <r>
    <x v="311"/>
    <n v="2023"/>
    <x v="0"/>
    <n v="66.61"/>
  </r>
  <r>
    <x v="312"/>
    <n v="2023"/>
    <x v="0"/>
    <n v="67.56"/>
  </r>
  <r>
    <x v="313"/>
    <n v="2023"/>
    <x v="0"/>
    <n v="69.400000000000006"/>
  </r>
  <r>
    <x v="314"/>
    <n v="2023"/>
    <x v="0"/>
    <n v="70.709999999999994"/>
  </r>
  <r>
    <x v="315"/>
    <n v="2023"/>
    <x v="0"/>
    <n v="69.77"/>
  </r>
  <r>
    <x v="316"/>
    <n v="2023"/>
    <x v="0"/>
    <n v="69.22"/>
  </r>
  <r>
    <x v="317"/>
    <n v="2023"/>
    <x v="0"/>
    <n v="72.87"/>
  </r>
  <r>
    <x v="318"/>
    <n v="2023"/>
    <x v="0"/>
    <n v="73.12"/>
  </r>
  <r>
    <x v="319"/>
    <n v="2023"/>
    <x v="0"/>
    <n v="72.95"/>
  </r>
  <r>
    <x v="320"/>
    <n v="2023"/>
    <x v="0"/>
    <n v="74.319999999999993"/>
  </r>
  <r>
    <x v="321"/>
    <n v="2023"/>
    <x v="0"/>
    <n v="75.680000000000007"/>
  </r>
  <r>
    <x v="322"/>
    <n v="2023"/>
    <x v="0"/>
    <n v="80.400000000000006"/>
  </r>
  <r>
    <x v="323"/>
    <n v="2023"/>
    <x v="0"/>
    <n v="80.7"/>
  </r>
  <r>
    <x v="324"/>
    <n v="2023"/>
    <x v="0"/>
    <n v="80.69"/>
  </r>
  <r>
    <x v="325"/>
    <n v="2023"/>
    <x v="0"/>
    <n v="80.7"/>
  </r>
  <r>
    <x v="326"/>
    <n v="2023"/>
    <x v="0"/>
    <n v="79.790000000000006"/>
  </r>
  <r>
    <x v="327"/>
    <n v="2023"/>
    <x v="0"/>
    <n v="81.540000000000006"/>
  </r>
  <r>
    <x v="328"/>
    <n v="2023"/>
    <x v="0"/>
    <n v="83.26"/>
  </r>
  <r>
    <x v="329"/>
    <n v="2023"/>
    <x v="0"/>
    <n v="82.16"/>
  </r>
  <r>
    <x v="330"/>
    <n v="2023"/>
    <x v="0"/>
    <n v="82.58"/>
  </r>
  <r>
    <x v="331"/>
    <n v="2023"/>
    <x v="0"/>
    <n v="80.930000000000007"/>
  </r>
  <r>
    <x v="332"/>
    <n v="2023"/>
    <x v="0"/>
    <n v="80.849999999999994"/>
  </r>
  <r>
    <x v="333"/>
    <n v="2023"/>
    <x v="0"/>
    <n v="79.180000000000007"/>
  </r>
  <r>
    <x v="334"/>
    <n v="2023"/>
    <x v="0"/>
    <n v="77.27"/>
  </r>
  <r>
    <x v="335"/>
    <n v="2023"/>
    <x v="0"/>
    <n v="77.86"/>
  </r>
  <r>
    <x v="336"/>
    <n v="2023"/>
    <x v="0"/>
    <n v="78.64"/>
  </r>
  <r>
    <x v="337"/>
    <n v="2023"/>
    <x v="0"/>
    <n v="77.05"/>
  </r>
  <r>
    <x v="338"/>
    <n v="2023"/>
    <x v="0"/>
    <n v="74.33"/>
  </r>
  <r>
    <x v="339"/>
    <n v="2023"/>
    <x v="0"/>
    <n v="74.77"/>
  </r>
  <r>
    <x v="340"/>
    <n v="2023"/>
    <x v="0"/>
    <n v="76.78"/>
  </r>
  <r>
    <x v="341"/>
    <n v="2023"/>
    <x v="0"/>
    <n v="75.650000000000006"/>
  </r>
  <r>
    <x v="342"/>
    <n v="2023"/>
    <x v="0"/>
    <n v="71.709999999999994"/>
  </r>
  <r>
    <x v="343"/>
    <n v="2023"/>
    <x v="0"/>
    <n v="68.62"/>
  </r>
  <r>
    <x v="344"/>
    <n v="2023"/>
    <x v="0"/>
    <n v="68.52"/>
  </r>
  <r>
    <x v="345"/>
    <n v="2023"/>
    <x v="0"/>
    <n v="71.319999999999993"/>
  </r>
  <r>
    <x v="346"/>
    <n v="2023"/>
    <x v="0"/>
    <n v="73.13"/>
  </r>
  <r>
    <x v="347"/>
    <n v="2023"/>
    <x v="0"/>
    <n v="73.680000000000007"/>
  </r>
  <r>
    <x v="348"/>
    <n v="2023"/>
    <x v="0"/>
    <n v="72.53"/>
  </r>
  <r>
    <x v="349"/>
    <n v="2023"/>
    <x v="0"/>
    <n v="70.81"/>
  </r>
  <r>
    <x v="350"/>
    <n v="2023"/>
    <x v="0"/>
    <n v="70.02"/>
  </r>
  <r>
    <x v="351"/>
    <n v="2023"/>
    <x v="0"/>
    <n v="71.069999999999993"/>
  </r>
  <r>
    <x v="352"/>
    <n v="2023"/>
    <x v="0"/>
    <n v="70.849999999999994"/>
  </r>
  <r>
    <x v="353"/>
    <n v="2023"/>
    <x v="0"/>
    <n v="72.78"/>
  </r>
  <r>
    <x v="354"/>
    <n v="2023"/>
    <x v="0"/>
    <n v="71.819999999999993"/>
  </r>
  <r>
    <x v="355"/>
    <n v="2023"/>
    <x v="0"/>
    <n v="71.569999999999993"/>
  </r>
  <r>
    <x v="356"/>
    <n v="2023"/>
    <x v="0"/>
    <n v="71.81"/>
  </r>
  <r>
    <x v="357"/>
    <n v="2023"/>
    <x v="0"/>
    <n v="72.87"/>
  </r>
  <r>
    <x v="358"/>
    <n v="2023"/>
    <x v="0"/>
    <n v="74.37"/>
  </r>
  <r>
    <x v="359"/>
    <n v="2023"/>
    <x v="0"/>
    <n v="71.680000000000007"/>
  </r>
  <r>
    <x v="360"/>
    <n v="2023"/>
    <x v="0"/>
    <n v="72.349999999999994"/>
  </r>
  <r>
    <x v="361"/>
    <n v="2023"/>
    <x v="0"/>
    <n v="69.45"/>
  </r>
  <r>
    <x v="362"/>
    <n v="2023"/>
    <x v="0"/>
    <n v="68.11"/>
  </r>
  <r>
    <x v="363"/>
    <n v="2023"/>
    <x v="0"/>
    <n v="70.09"/>
  </r>
  <r>
    <x v="364"/>
    <n v="2023"/>
    <x v="0"/>
    <n v="71.760000000000005"/>
  </r>
  <r>
    <x v="365"/>
    <n v="2023"/>
    <x v="0"/>
    <n v="72.14"/>
  </r>
  <r>
    <x v="366"/>
    <n v="2023"/>
    <x v="0"/>
    <n v="71.709999999999994"/>
  </r>
  <r>
    <x v="367"/>
    <n v="2023"/>
    <x v="0"/>
    <n v="72.52"/>
  </r>
  <r>
    <x v="368"/>
    <n v="2023"/>
    <x v="0"/>
    <n v="71.28"/>
  </r>
  <r>
    <x v="369"/>
    <n v="2023"/>
    <x v="0"/>
    <n v="70.16"/>
  </r>
  <r>
    <x v="370"/>
    <n v="2023"/>
    <x v="0"/>
    <n v="67.08"/>
  </r>
  <r>
    <x v="371"/>
    <n v="2023"/>
    <x v="0"/>
    <n v="69.39"/>
  </r>
  <r>
    <x v="372"/>
    <n v="2023"/>
    <x v="0"/>
    <n v="68.22"/>
  </r>
  <r>
    <x v="373"/>
    <n v="2023"/>
    <x v="0"/>
    <n v="70.61"/>
  </r>
  <r>
    <x v="374"/>
    <n v="2023"/>
    <x v="0"/>
    <n v="71.81"/>
  </r>
  <r>
    <x v="375"/>
    <n v="2023"/>
    <x v="1"/>
    <m/>
  </r>
  <r>
    <x v="376"/>
    <n v="2023"/>
    <x v="0"/>
    <n v="70.94"/>
  </r>
  <r>
    <x v="377"/>
    <n v="2023"/>
    <x v="0"/>
    <n v="72.55"/>
  </r>
  <r>
    <x v="378"/>
    <n v="2023"/>
    <x v="0"/>
    <n v="69.22"/>
  </r>
  <r>
    <x v="379"/>
    <n v="2023"/>
    <x v="0"/>
    <n v="68.91"/>
  </r>
  <r>
    <x v="380"/>
    <n v="2023"/>
    <x v="0"/>
    <n v="69.09"/>
  </r>
  <r>
    <x v="381"/>
    <n v="2023"/>
    <x v="0"/>
    <n v="67.680000000000007"/>
  </r>
  <r>
    <x v="382"/>
    <n v="2023"/>
    <x v="0"/>
    <n v="69.540000000000006"/>
  </r>
  <r>
    <x v="383"/>
    <n v="2023"/>
    <x v="0"/>
    <n v="69.849999999999994"/>
  </r>
  <r>
    <x v="384"/>
    <n v="2023"/>
    <x v="0"/>
    <n v="70.66"/>
  </r>
  <r>
    <x v="385"/>
    <n v="2023"/>
    <x v="0"/>
    <n v="69.709999999999994"/>
  </r>
  <r>
    <x v="386"/>
    <n v="2023"/>
    <x v="1"/>
    <m/>
  </r>
  <r>
    <x v="387"/>
    <n v="2023"/>
    <x v="0"/>
    <n v="71.78"/>
  </r>
  <r>
    <x v="388"/>
    <n v="2023"/>
    <x v="0"/>
    <n v="71.760000000000005"/>
  </r>
  <r>
    <x v="389"/>
    <n v="2023"/>
    <x v="0"/>
    <n v="73.91"/>
  </r>
  <r>
    <x v="390"/>
    <n v="2023"/>
    <x v="0"/>
    <n v="73.05"/>
  </r>
  <r>
    <x v="391"/>
    <n v="2023"/>
    <x v="0"/>
    <n v="74.87"/>
  </r>
  <r>
    <x v="392"/>
    <n v="2023"/>
    <x v="0"/>
    <n v="75.77"/>
  </r>
  <r>
    <x v="393"/>
    <n v="2023"/>
    <x v="0"/>
    <n v="76.86"/>
  </r>
  <r>
    <x v="394"/>
    <n v="2023"/>
    <x v="0"/>
    <n v="75.44"/>
  </r>
  <r>
    <x v="395"/>
    <n v="2023"/>
    <x v="0"/>
    <n v="74.17"/>
  </r>
  <r>
    <x v="396"/>
    <n v="2023"/>
    <x v="0"/>
    <n v="75.760000000000005"/>
  </r>
  <r>
    <x v="397"/>
    <n v="2023"/>
    <x v="0"/>
    <n v="75.400000000000006"/>
  </r>
  <r>
    <x v="398"/>
    <n v="2023"/>
    <x v="0"/>
    <n v="75.650000000000006"/>
  </r>
  <r>
    <x v="399"/>
    <n v="2023"/>
    <x v="0"/>
    <n v="77.06"/>
  </r>
  <r>
    <x v="400"/>
    <n v="2023"/>
    <x v="0"/>
    <n v="78.81"/>
  </r>
  <r>
    <x v="401"/>
    <n v="2023"/>
    <x v="0"/>
    <n v="79.760000000000005"/>
  </r>
  <r>
    <x v="402"/>
    <n v="2023"/>
    <x v="0"/>
    <n v="79.11"/>
  </r>
  <r>
    <x v="403"/>
    <n v="2023"/>
    <x v="0"/>
    <n v="80.17"/>
  </r>
  <r>
    <x v="404"/>
    <n v="2023"/>
    <x v="0"/>
    <n v="80.55"/>
  </r>
  <r>
    <x v="405"/>
    <n v="2023"/>
    <x v="0"/>
    <n v="81.8"/>
  </r>
  <r>
    <x v="406"/>
    <n v="2023"/>
    <x v="0"/>
    <n v="81.37"/>
  </r>
  <r>
    <x v="407"/>
    <n v="2023"/>
    <x v="0"/>
    <n v="79.5"/>
  </r>
  <r>
    <x v="408"/>
    <n v="2023"/>
    <x v="0"/>
    <n v="81.56"/>
  </r>
  <r>
    <x v="409"/>
    <n v="2023"/>
    <x v="0"/>
    <n v="82.76"/>
  </r>
  <r>
    <x v="410"/>
    <n v="2023"/>
    <x v="0"/>
    <n v="81.94"/>
  </r>
  <r>
    <x v="411"/>
    <n v="2023"/>
    <x v="0"/>
    <n v="82.94"/>
  </r>
  <r>
    <x v="412"/>
    <n v="2023"/>
    <x v="0"/>
    <n v="84.35"/>
  </r>
  <r>
    <x v="413"/>
    <n v="2023"/>
    <x v="0"/>
    <n v="82.81"/>
  </r>
  <r>
    <x v="414"/>
    <n v="2023"/>
    <x v="0"/>
    <n v="83.17"/>
  </r>
  <r>
    <x v="415"/>
    <n v="2023"/>
    <x v="0"/>
    <n v="82.5"/>
  </r>
  <r>
    <x v="416"/>
    <n v="2023"/>
    <x v="0"/>
    <n v="81.06"/>
  </r>
  <r>
    <x v="417"/>
    <n v="2023"/>
    <x v="0"/>
    <n v="79.400000000000006"/>
  </r>
  <r>
    <x v="418"/>
    <n v="2023"/>
    <x v="0"/>
    <n v="80.430000000000007"/>
  </r>
  <r>
    <x v="419"/>
    <n v="2023"/>
    <x v="0"/>
    <n v="81.25"/>
  </r>
  <r>
    <x v="420"/>
    <n v="2023"/>
    <x v="0"/>
    <n v="80.709999999999994"/>
  </r>
  <r>
    <x v="421"/>
    <n v="2023"/>
    <x v="0"/>
    <n v="80.25"/>
  </r>
  <r>
    <x v="422"/>
    <n v="2023"/>
    <x v="0"/>
    <n v="78.91"/>
  </r>
  <r>
    <x v="423"/>
    <n v="2023"/>
    <x v="0"/>
    <n v="79.52"/>
  </r>
  <r>
    <x v="424"/>
    <n v="2023"/>
    <x v="0"/>
    <n v="80.47"/>
  </r>
  <r>
    <x v="425"/>
    <n v="2023"/>
    <x v="0"/>
    <n v="80.650000000000006"/>
  </r>
  <r>
    <x v="426"/>
    <n v="2023"/>
    <x v="0"/>
    <n v="81.14"/>
  </r>
  <r>
    <x v="427"/>
    <n v="2023"/>
    <x v="0"/>
    <n v="81.64"/>
  </r>
  <r>
    <x v="428"/>
    <n v="2023"/>
    <x v="0"/>
    <n v="83.55"/>
  </r>
  <r>
    <x v="429"/>
    <n v="2023"/>
    <x v="0"/>
    <n v="85.52"/>
  </r>
  <r>
    <x v="430"/>
    <n v="2023"/>
    <x v="1"/>
    <m/>
  </r>
  <r>
    <x v="431"/>
    <n v="2023"/>
    <x v="0"/>
    <n v="86.74"/>
  </r>
  <r>
    <x v="432"/>
    <n v="2023"/>
    <x v="0"/>
    <n v="87.55"/>
  </r>
  <r>
    <x v="433"/>
    <n v="2023"/>
    <x v="0"/>
    <n v="86.87"/>
  </r>
  <r>
    <x v="434"/>
    <n v="2023"/>
    <x v="0"/>
    <n v="87.51"/>
  </r>
  <r>
    <x v="435"/>
    <n v="2023"/>
    <x v="0"/>
    <n v="87.3"/>
  </r>
  <r>
    <x v="436"/>
    <n v="2023"/>
    <x v="0"/>
    <n v="88.87"/>
  </r>
  <r>
    <x v="437"/>
    <n v="2023"/>
    <x v="0"/>
    <n v="88.59"/>
  </r>
  <r>
    <x v="438"/>
    <n v="2023"/>
    <x v="0"/>
    <n v="90.13"/>
  </r>
  <r>
    <x v="439"/>
    <n v="2023"/>
    <x v="0"/>
    <n v="90.83"/>
  </r>
  <r>
    <x v="440"/>
    <n v="2023"/>
    <x v="0"/>
    <n v="91.47"/>
  </r>
  <r>
    <x v="441"/>
    <n v="2023"/>
    <x v="0"/>
    <n v="91.16"/>
  </r>
  <r>
    <x v="442"/>
    <n v="2023"/>
    <x v="0"/>
    <n v="89.2"/>
  </r>
  <r>
    <x v="443"/>
    <n v="2023"/>
    <x v="0"/>
    <n v="89.56"/>
  </r>
  <r>
    <x v="444"/>
    <n v="2023"/>
    <x v="0"/>
    <n v="90"/>
  </r>
  <r>
    <x v="445"/>
    <n v="2023"/>
    <x v="0"/>
    <n v="89.68"/>
  </r>
  <r>
    <x v="446"/>
    <n v="2023"/>
    <x v="0"/>
    <n v="91.43"/>
  </r>
  <r>
    <x v="447"/>
    <n v="2023"/>
    <x v="0"/>
    <n v="93.67"/>
  </r>
  <r>
    <x v="448"/>
    <n v="2023"/>
    <x v="0"/>
    <n v="91.65"/>
  </r>
  <r>
    <x v="449"/>
    <n v="2023"/>
    <x v="0"/>
    <n v="90.77"/>
  </r>
  <r>
    <x v="450"/>
    <n v="2023"/>
    <x v="0"/>
    <n v="88.81"/>
  </r>
  <r>
    <x v="451"/>
    <n v="2023"/>
    <x v="0"/>
    <n v="89.26"/>
  </r>
  <r>
    <x v="452"/>
    <n v="2023"/>
    <x v="0"/>
    <n v="84.32"/>
  </r>
  <r>
    <x v="453"/>
    <n v="2023"/>
    <x v="0"/>
    <n v="82.3"/>
  </r>
  <r>
    <x v="454"/>
    <n v="2023"/>
    <x v="0"/>
    <n v="82.83"/>
  </r>
  <r>
    <x v="455"/>
    <n v="2023"/>
    <x v="1"/>
    <m/>
  </r>
  <r>
    <x v="456"/>
    <n v="2023"/>
    <x v="0"/>
    <n v="85.89"/>
  </r>
  <r>
    <x v="457"/>
    <n v="2023"/>
    <x v="0"/>
    <n v="83.7"/>
  </r>
  <r>
    <x v="458"/>
    <n v="2023"/>
    <x v="0"/>
    <n v="82.87"/>
  </r>
  <r>
    <x v="459"/>
    <n v="2023"/>
    <x v="0"/>
    <n v="87.67"/>
  </r>
  <r>
    <x v="460"/>
    <n v="2023"/>
    <x v="0"/>
    <n v="86.65"/>
  </r>
  <r>
    <x v="461"/>
    <n v="2023"/>
    <x v="0"/>
    <n v="86.66"/>
  </r>
  <r>
    <x v="462"/>
    <n v="2023"/>
    <x v="0"/>
    <n v="88.35"/>
  </r>
  <r>
    <x v="463"/>
    <n v="2023"/>
    <x v="0"/>
    <n v="89.35"/>
  </r>
  <r>
    <x v="464"/>
    <n v="2023"/>
    <x v="0"/>
    <n v="89.12"/>
  </r>
  <r>
    <x v="465"/>
    <n v="2023"/>
    <x v="0"/>
    <n v="85.49"/>
  </r>
  <r>
    <x v="466"/>
    <n v="2023"/>
    <x v="0"/>
    <n v="84.58"/>
  </r>
  <r>
    <x v="467"/>
    <n v="2023"/>
    <x v="0"/>
    <n v="86.07"/>
  </r>
  <r>
    <x v="468"/>
    <n v="2023"/>
    <x v="0"/>
    <n v="83.8"/>
  </r>
  <r>
    <x v="469"/>
    <n v="2023"/>
    <x v="0"/>
    <n v="86.04"/>
  </r>
  <r>
    <x v="470"/>
    <n v="2023"/>
    <x v="0"/>
    <n v="83.03"/>
  </r>
  <r>
    <x v="471"/>
    <n v="2023"/>
    <x v="0"/>
    <n v="81.64"/>
  </r>
  <r>
    <x v="472"/>
    <n v="2023"/>
    <x v="0"/>
    <n v="81.05"/>
  </r>
  <r>
    <x v="473"/>
    <n v="2023"/>
    <x v="0"/>
    <n v="83.04"/>
  </r>
  <r>
    <x v="474"/>
    <n v="2023"/>
    <x v="0"/>
    <n v="81.19"/>
  </r>
  <r>
    <x v="475"/>
    <n v="2023"/>
    <x v="0"/>
    <n v="81.540000000000006"/>
  </r>
  <r>
    <x v="476"/>
    <n v="2023"/>
    <x v="0"/>
    <n v="77.959999999999994"/>
  </r>
  <r>
    <x v="477"/>
    <n v="2023"/>
    <x v="0"/>
    <n v="75.849999999999994"/>
  </r>
  <r>
    <x v="478"/>
    <n v="2023"/>
    <x v="0"/>
    <n v="76.34"/>
  </r>
  <r>
    <x v="479"/>
    <n v="2023"/>
    <x v="1"/>
    <m/>
  </r>
  <r>
    <x v="480"/>
    <n v="2023"/>
    <x v="0"/>
    <n v="78.86"/>
  </r>
  <r>
    <x v="481"/>
    <n v="2023"/>
    <x v="0"/>
    <n v="78.900000000000006"/>
  </r>
  <r>
    <x v="482"/>
    <n v="2023"/>
    <x v="0"/>
    <n v="77.150000000000006"/>
  </r>
  <r>
    <x v="483"/>
    <n v="2023"/>
    <x v="0"/>
    <n v="73.5"/>
  </r>
  <r>
    <x v="484"/>
    <n v="2023"/>
    <x v="0"/>
    <n v="76.47"/>
  </r>
  <r>
    <x v="485"/>
    <n v="2023"/>
    <x v="0"/>
    <n v="78.099999999999994"/>
  </r>
  <r>
    <x v="486"/>
    <n v="2023"/>
    <x v="0"/>
    <n v="78.349999999999994"/>
  </r>
  <r>
    <x v="487"/>
    <n v="2023"/>
    <x v="0"/>
    <n v="76.8"/>
  </r>
  <r>
    <x v="488"/>
    <n v="2023"/>
    <x v="1"/>
    <m/>
  </r>
  <r>
    <x v="489"/>
    <n v="2023"/>
    <x v="0"/>
    <n v="74.83"/>
  </r>
  <r>
    <x v="490"/>
    <n v="2023"/>
    <x v="0"/>
    <n v="74.459999999999994"/>
  </r>
  <r>
    <x v="491"/>
    <n v="2023"/>
    <x v="0"/>
    <n v="76.09"/>
  </r>
  <r>
    <x v="492"/>
    <n v="2023"/>
    <x v="0"/>
    <n v="77.56"/>
  </r>
  <r>
    <x v="493"/>
    <n v="2023"/>
    <x v="0"/>
    <n v="75.66"/>
  </r>
  <r>
    <x v="494"/>
    <n v="2023"/>
    <x v="0"/>
    <n v="73.7"/>
  </r>
  <r>
    <x v="495"/>
    <n v="2023"/>
    <x v="0"/>
    <n v="72.73"/>
  </r>
  <r>
    <x v="496"/>
    <n v="2023"/>
    <x v="0"/>
    <n v="71.95"/>
  </r>
  <r>
    <x v="497"/>
    <n v="2023"/>
    <x v="0"/>
    <n v="68.98"/>
  </r>
  <r>
    <x v="498"/>
    <n v="2023"/>
    <x v="0"/>
    <n v="69"/>
  </r>
  <r>
    <x v="499"/>
    <n v="2023"/>
    <x v="0"/>
    <n v="70.87"/>
  </r>
  <r>
    <x v="500"/>
    <n v="2023"/>
    <x v="0"/>
    <n v="70.95"/>
  </r>
  <r>
    <x v="501"/>
    <n v="2023"/>
    <x v="0"/>
    <n v="68.27"/>
  </r>
  <r>
    <x v="502"/>
    <n v="2023"/>
    <x v="0"/>
    <n v="69.09"/>
  </r>
  <r>
    <x v="503"/>
    <n v="2023"/>
    <x v="0"/>
    <n v="71.209999999999994"/>
  </r>
  <r>
    <x v="504"/>
    <n v="2023"/>
    <x v="0"/>
    <n v="71.05"/>
  </r>
  <r>
    <x v="505"/>
    <n v="2023"/>
    <x v="0"/>
    <n v="72.16"/>
  </r>
  <r>
    <x v="506"/>
    <n v="2023"/>
    <x v="0"/>
    <n v="73.23"/>
  </r>
  <r>
    <x v="507"/>
    <n v="2023"/>
    <x v="0"/>
    <n v="73.87"/>
  </r>
  <r>
    <x v="508"/>
    <n v="2023"/>
    <x v="0"/>
    <n v="73.59"/>
  </r>
  <r>
    <x v="509"/>
    <n v="2023"/>
    <x v="0"/>
    <n v="73.290000000000006"/>
  </r>
  <r>
    <x v="510"/>
    <n v="2023"/>
    <x v="0"/>
    <n v="75.84"/>
  </r>
  <r>
    <x v="511"/>
    <n v="2023"/>
    <x v="0"/>
    <n v="74.31"/>
  </r>
  <r>
    <x v="512"/>
    <n v="2023"/>
    <x v="0"/>
    <n v="72.02"/>
  </r>
  <r>
    <x v="513"/>
    <n v="2023"/>
    <x v="0"/>
    <n v="71.89"/>
  </r>
  <r>
    <x v="514"/>
    <n v="2024"/>
    <x v="0"/>
    <n v="70.62"/>
  </r>
  <r>
    <x v="515"/>
    <n v="2024"/>
    <x v="0"/>
    <n v="72.97"/>
  </r>
  <r>
    <x v="516"/>
    <n v="2024"/>
    <x v="0"/>
    <n v="72.38"/>
  </r>
  <r>
    <x v="517"/>
    <n v="2024"/>
    <x v="0"/>
    <n v="74"/>
  </r>
  <r>
    <x v="518"/>
    <n v="2024"/>
    <x v="0"/>
    <n v="71.06"/>
  </r>
  <r>
    <x v="519"/>
    <n v="2024"/>
    <x v="0"/>
    <n v="72.430000000000007"/>
  </r>
  <r>
    <x v="520"/>
    <n v="2024"/>
    <x v="0"/>
    <n v="71.569999999999993"/>
  </r>
  <r>
    <x v="521"/>
    <n v="2024"/>
    <x v="0"/>
    <n v="72.150000000000006"/>
  </r>
  <r>
    <x v="522"/>
    <n v="2024"/>
    <x v="0"/>
    <n v="72.94"/>
  </r>
  <r>
    <x v="523"/>
    <n v="2024"/>
    <x v="1"/>
    <m/>
  </r>
  <r>
    <x v="524"/>
    <n v="2024"/>
    <x v="0"/>
    <n v="72.63"/>
  </r>
  <r>
    <x v="525"/>
    <n v="2024"/>
    <x v="0"/>
    <n v="72.790000000000006"/>
  </r>
  <r>
    <x v="526"/>
    <n v="2024"/>
    <x v="0"/>
    <n v="74.319999999999993"/>
  </r>
  <r>
    <x v="527"/>
    <n v="2024"/>
    <x v="0"/>
    <n v="73.69"/>
  </r>
  <r>
    <x v="528"/>
    <n v="2024"/>
    <x v="0"/>
    <n v="75.260000000000005"/>
  </r>
  <r>
    <x v="529"/>
    <n v="2024"/>
    <x v="0"/>
    <n v="74.72"/>
  </r>
  <r>
    <x v="530"/>
    <n v="2024"/>
    <x v="0"/>
    <n v="75.48"/>
  </r>
  <r>
    <x v="531"/>
    <n v="2024"/>
    <x v="0"/>
    <n v="77.91"/>
  </r>
  <r>
    <x v="532"/>
    <n v="2024"/>
    <x v="0"/>
    <n v="78.45"/>
  </r>
  <r>
    <x v="533"/>
    <n v="2024"/>
    <x v="0"/>
    <n v="77.25"/>
  </r>
  <r>
    <x v="534"/>
    <n v="2024"/>
    <x v="0"/>
    <n v="78.3"/>
  </r>
  <r>
    <x v="535"/>
    <n v="2024"/>
    <x v="0"/>
    <n v="76.28"/>
  </r>
  <r>
    <x v="536"/>
    <n v="2024"/>
    <x v="0"/>
    <n v="74.36"/>
  </r>
  <r>
    <x v="537"/>
    <n v="2024"/>
    <x v="0"/>
    <n v="72.72"/>
  </r>
  <r>
    <x v="538"/>
    <n v="2024"/>
    <x v="0"/>
    <n v="73.209999999999994"/>
  </r>
  <r>
    <x v="539"/>
    <n v="2024"/>
    <x v="0"/>
    <n v="73.83"/>
  </r>
  <r>
    <x v="540"/>
    <n v="2024"/>
    <x v="0"/>
    <n v="74.260000000000005"/>
  </r>
  <r>
    <x v="541"/>
    <n v="2024"/>
    <x v="0"/>
    <n v="76.67"/>
  </r>
  <r>
    <x v="542"/>
    <n v="2024"/>
    <x v="0"/>
    <n v="77.260000000000005"/>
  </r>
  <r>
    <x v="543"/>
    <n v="2024"/>
    <x v="0"/>
    <n v="77.34"/>
  </r>
  <r>
    <x v="544"/>
    <n v="2024"/>
    <x v="0"/>
    <n v="78.28"/>
  </r>
  <r>
    <x v="545"/>
    <n v="2024"/>
    <x v="0"/>
    <n v="77.09"/>
  </r>
  <r>
    <x v="546"/>
    <n v="2024"/>
    <x v="0"/>
    <n v="78.47"/>
  </r>
  <r>
    <x v="547"/>
    <n v="2024"/>
    <x v="0"/>
    <n v="79.650000000000006"/>
  </r>
  <r>
    <x v="548"/>
    <n v="2024"/>
    <x v="1"/>
    <m/>
  </r>
  <r>
    <x v="549"/>
    <n v="2024"/>
    <x v="0"/>
    <n v="78.72"/>
  </r>
  <r>
    <x v="550"/>
    <n v="2024"/>
    <x v="0"/>
    <n v="78.89"/>
  </r>
  <r>
    <x v="551"/>
    <n v="2024"/>
    <x v="0"/>
    <n v="79.64"/>
  </r>
  <r>
    <x v="552"/>
    <n v="2024"/>
    <x v="0"/>
    <n v="77.599999999999994"/>
  </r>
  <r>
    <x v="553"/>
    <n v="2024"/>
    <x v="0"/>
    <n v="78.53"/>
  </r>
  <r>
    <x v="554"/>
    <n v="2024"/>
    <x v="0"/>
    <n v="79.8"/>
  </r>
  <r>
    <x v="555"/>
    <n v="2024"/>
    <x v="0"/>
    <n v="79.44"/>
  </r>
  <r>
    <x v="556"/>
    <n v="2024"/>
    <x v="0"/>
    <n v="79.22"/>
  </r>
  <r>
    <x v="557"/>
    <n v="2024"/>
    <x v="0"/>
    <n v="80.900000000000006"/>
  </r>
  <r>
    <x v="558"/>
    <n v="2024"/>
    <x v="0"/>
    <n v="79.67"/>
  </r>
  <r>
    <x v="559"/>
    <n v="2024"/>
    <x v="0"/>
    <n v="79.11"/>
  </r>
  <r>
    <x v="560"/>
    <n v="2024"/>
    <x v="0"/>
    <n v="80.08"/>
  </r>
  <r>
    <x v="561"/>
    <n v="2024"/>
    <x v="0"/>
    <n v="79.81"/>
  </r>
  <r>
    <x v="562"/>
    <n v="2024"/>
    <x v="0"/>
    <n v="78.959999999999994"/>
  </r>
  <r>
    <x v="563"/>
    <n v="2024"/>
    <x v="0"/>
    <n v="78.87"/>
  </r>
  <r>
    <x v="564"/>
    <n v="2024"/>
    <x v="0"/>
    <n v="78.510000000000005"/>
  </r>
  <r>
    <x v="565"/>
    <n v="2024"/>
    <x v="0"/>
    <n v="80.67"/>
  </r>
  <r>
    <x v="566"/>
    <n v="2024"/>
    <x v="0"/>
    <n v="82.16"/>
  </r>
  <r>
    <x v="567"/>
    <n v="2024"/>
    <x v="0"/>
    <n v="81.94"/>
  </r>
  <r>
    <x v="568"/>
    <n v="2024"/>
    <x v="0"/>
    <n v="83.68"/>
  </r>
  <r>
    <x v="569"/>
    <n v="2024"/>
    <x v="0"/>
    <n v="84.39"/>
  </r>
  <r>
    <x v="570"/>
    <n v="2024"/>
    <x v="0"/>
    <n v="82.79"/>
  </r>
  <r>
    <x v="571"/>
    <n v="2024"/>
    <x v="0"/>
    <n v="81.99"/>
  </r>
  <r>
    <x v="572"/>
    <n v="2024"/>
    <x v="0"/>
    <n v="81.099999999999994"/>
  </r>
  <r>
    <x v="573"/>
    <n v="2024"/>
    <x v="0"/>
    <n v="82.41"/>
  </r>
  <r>
    <x v="574"/>
    <n v="2024"/>
    <x v="0"/>
    <n v="82.41"/>
  </r>
  <r>
    <x v="575"/>
    <n v="2024"/>
    <x v="0"/>
    <n v="82.15"/>
  </r>
  <r>
    <x v="576"/>
    <n v="2024"/>
    <x v="0"/>
    <n v="83.96"/>
  </r>
  <r>
    <x v="577"/>
    <n v="2024"/>
    <x v="0"/>
    <n v="84.54"/>
  </r>
  <r>
    <x v="578"/>
    <n v="2024"/>
    <x v="0"/>
    <n v="85.95"/>
  </r>
  <r>
    <x v="579"/>
    <n v="2024"/>
    <x v="0"/>
    <n v="86.22"/>
  </r>
  <r>
    <x v="580"/>
    <n v="2024"/>
    <x v="0"/>
    <n v="87.37"/>
  </r>
  <r>
    <x v="581"/>
    <n v="2024"/>
    <x v="0"/>
    <n v="87.69"/>
  </r>
  <r>
    <x v="582"/>
    <n v="2024"/>
    <x v="0"/>
    <n v="87.24"/>
  </r>
  <r>
    <x v="583"/>
    <n v="2024"/>
    <x v="0"/>
    <n v="86.04"/>
  </r>
  <r>
    <x v="584"/>
    <n v="2024"/>
    <x v="0"/>
    <n v="86.98"/>
  </r>
  <r>
    <x v="585"/>
    <n v="2024"/>
    <x v="0"/>
    <n v="85.79"/>
  </r>
  <r>
    <x v="586"/>
    <n v="2024"/>
    <x v="0"/>
    <n v="86.46"/>
  </r>
  <r>
    <x v="587"/>
    <n v="2024"/>
    <x v="0"/>
    <n v="86.21"/>
  </r>
  <r>
    <x v="588"/>
    <n v="2024"/>
    <x v="0"/>
    <n v="86.15"/>
  </r>
  <r>
    <x v="589"/>
    <n v="2024"/>
    <x v="0"/>
    <n v="83.58"/>
  </r>
  <r>
    <x v="590"/>
    <n v="2024"/>
    <x v="0"/>
    <n v="83.5"/>
  </r>
  <r>
    <x v="591"/>
    <n v="2024"/>
    <x v="0"/>
    <n v="83.79"/>
  </r>
  <r>
    <x v="592"/>
    <n v="2024"/>
    <x v="0"/>
    <n v="83.82"/>
  </r>
  <r>
    <x v="593"/>
    <n v="2024"/>
    <x v="0"/>
    <n v="84.17"/>
  </r>
  <r>
    <x v="594"/>
    <n v="2024"/>
    <x v="0"/>
    <n v="84.09"/>
  </r>
  <r>
    <x v="595"/>
    <n v="2024"/>
    <x v="0"/>
    <n v="84.92"/>
  </r>
  <r>
    <x v="596"/>
    <n v="2024"/>
    <x v="0"/>
    <n v="85.38"/>
  </r>
  <r>
    <x v="597"/>
    <n v="2024"/>
    <x v="0"/>
    <n v="84.26"/>
  </r>
  <r>
    <x v="598"/>
    <n v="2024"/>
    <x v="0"/>
    <n v="83.49"/>
  </r>
  <r>
    <x v="599"/>
    <n v="2024"/>
    <x v="0"/>
    <n v="80.7"/>
  </r>
  <r>
    <x v="600"/>
    <n v="2024"/>
    <x v="0"/>
    <n v="80.59"/>
  </r>
  <r>
    <x v="601"/>
    <n v="2024"/>
    <x v="0"/>
    <n v="79.650000000000006"/>
  </r>
  <r>
    <x v="602"/>
    <n v="2024"/>
    <x v="0"/>
    <n v="80.099999999999994"/>
  </r>
  <r>
    <x v="603"/>
    <n v="2024"/>
    <x v="0"/>
    <n v="79.97"/>
  </r>
  <r>
    <x v="604"/>
    <n v="2024"/>
    <x v="0"/>
    <n v="80.569999999999993"/>
  </r>
  <r>
    <x v="605"/>
    <n v="2024"/>
    <x v="0"/>
    <n v="80.86"/>
  </r>
  <r>
    <x v="606"/>
    <n v="2024"/>
    <x v="0"/>
    <n v="79.81"/>
  </r>
  <r>
    <x v="607"/>
    <n v="2024"/>
    <x v="0"/>
    <n v="80.709999999999994"/>
  </r>
  <r>
    <x v="608"/>
    <n v="2024"/>
    <x v="0"/>
    <n v="79.62"/>
  </r>
  <r>
    <x v="609"/>
    <n v="2024"/>
    <x v="0"/>
    <n v="80.23"/>
  </r>
  <r>
    <x v="610"/>
    <n v="2024"/>
    <x v="0"/>
    <n v="80.849999999999994"/>
  </r>
  <r>
    <x v="611"/>
    <n v="2024"/>
    <x v="0"/>
    <n v="81.66"/>
  </r>
  <r>
    <x v="612"/>
    <n v="2024"/>
    <x v="0"/>
    <n v="81.39"/>
  </r>
  <r>
    <x v="613"/>
    <n v="2024"/>
    <x v="0"/>
    <n v="80.66"/>
  </r>
  <r>
    <x v="614"/>
    <n v="2024"/>
    <x v="0"/>
    <n v="79.150000000000006"/>
  </r>
  <r>
    <x v="615"/>
    <n v="2024"/>
    <x v="0"/>
    <n v="77.47"/>
  </r>
  <r>
    <x v="616"/>
    <n v="2024"/>
    <x v="0"/>
    <n v="78.48"/>
  </r>
  <r>
    <x v="617"/>
    <n v="2024"/>
    <x v="0"/>
    <n v="80.900000000000006"/>
  </r>
  <r>
    <x v="618"/>
    <n v="2024"/>
    <x v="0"/>
    <n v="80.239999999999995"/>
  </r>
  <r>
    <x v="619"/>
    <n v="2024"/>
    <x v="0"/>
    <n v="78.959999999999994"/>
  </r>
  <r>
    <x v="620"/>
    <n v="2024"/>
    <x v="0"/>
    <n v="77.97"/>
  </r>
  <r>
    <x v="621"/>
    <n v="2024"/>
    <x v="0"/>
    <n v="75.260000000000005"/>
  </r>
  <r>
    <x v="622"/>
    <n v="2024"/>
    <x v="0"/>
    <n v="74.27"/>
  </r>
  <r>
    <x v="623"/>
    <n v="2024"/>
    <x v="0"/>
    <n v="75.08"/>
  </r>
  <r>
    <x v="624"/>
    <n v="2024"/>
    <x v="0"/>
    <n v="76.52"/>
  </r>
  <r>
    <x v="625"/>
    <n v="2024"/>
    <x v="0"/>
    <n v="76.53"/>
  </r>
  <r>
    <x v="626"/>
    <n v="2024"/>
    <x v="0"/>
    <n v="78.75"/>
  </r>
  <r>
    <x v="627"/>
    <n v="2024"/>
    <x v="0"/>
    <n v="78.88"/>
  </r>
  <r>
    <x v="628"/>
    <n v="2024"/>
    <x v="0"/>
    <n v="79.56"/>
  </r>
  <r>
    <x v="629"/>
    <n v="2024"/>
    <x v="0"/>
    <n v="79.61"/>
  </r>
  <r>
    <x v="630"/>
    <n v="2024"/>
    <x v="0"/>
    <n v="79.41"/>
  </r>
  <r>
    <x v="631"/>
    <n v="2024"/>
    <x v="0"/>
    <n v="81.33"/>
  </r>
  <r>
    <x v="632"/>
    <n v="2024"/>
    <x v="0"/>
    <n v="82.67"/>
  </r>
  <r>
    <x v="633"/>
    <n v="2024"/>
    <x v="1"/>
    <m/>
  </r>
  <r>
    <x v="634"/>
    <n v="2024"/>
    <x v="0"/>
    <n v="83.34"/>
  </r>
  <r>
    <x v="635"/>
    <n v="2024"/>
    <x v="0"/>
    <n v="81.709999999999994"/>
  </r>
  <r>
    <x v="636"/>
    <n v="2024"/>
    <x v="0"/>
    <n v="82.63"/>
  </r>
  <r>
    <x v="637"/>
    <n v="2024"/>
    <x v="0"/>
    <n v="81.97"/>
  </r>
  <r>
    <x v="638"/>
    <n v="2024"/>
    <x v="0"/>
    <n v="82.19"/>
  </r>
  <r>
    <x v="639"/>
    <n v="2024"/>
    <x v="0"/>
    <n v="83.04"/>
  </r>
  <r>
    <x v="640"/>
    <n v="2024"/>
    <x v="0"/>
    <n v="82.83"/>
  </r>
  <r>
    <x v="641"/>
    <n v="2024"/>
    <x v="0"/>
    <n v="84.7"/>
  </r>
  <r>
    <x v="642"/>
    <n v="2024"/>
    <x v="0"/>
    <n v="84.09"/>
  </r>
  <r>
    <x v="643"/>
    <n v="2024"/>
    <x v="0"/>
    <n v="85.19"/>
  </r>
  <r>
    <x v="644"/>
    <n v="2024"/>
    <x v="1"/>
    <m/>
  </r>
  <r>
    <x v="645"/>
    <n v="2024"/>
    <x v="0"/>
    <n v="84.44"/>
  </r>
  <r>
    <x v="646"/>
    <n v="2024"/>
    <x v="0"/>
    <n v="83.63"/>
  </r>
  <r>
    <x v="647"/>
    <n v="2024"/>
    <x v="0"/>
    <n v="82.78"/>
  </r>
  <r>
    <x v="648"/>
    <n v="2024"/>
    <x v="0"/>
    <n v="83.39"/>
  </r>
  <r>
    <x v="649"/>
    <n v="2024"/>
    <x v="0"/>
    <n v="83.92"/>
  </r>
  <r>
    <x v="650"/>
    <n v="2024"/>
    <x v="0"/>
    <n v="83.49"/>
  </r>
  <r>
    <x v="651"/>
    <n v="2024"/>
    <x v="0"/>
    <n v="83.22"/>
  </r>
  <r>
    <x v="652"/>
    <n v="2024"/>
    <x v="0"/>
    <n v="81.92"/>
  </r>
  <r>
    <x v="653"/>
    <n v="2024"/>
    <x v="0"/>
    <n v="84.16"/>
  </r>
  <r>
    <x v="654"/>
    <n v="2024"/>
    <x v="0"/>
    <n v="84.17"/>
  </r>
  <r>
    <x v="655"/>
    <n v="2024"/>
    <x v="0"/>
    <n v="81.430000000000007"/>
  </r>
  <r>
    <x v="656"/>
    <n v="2024"/>
    <x v="0"/>
    <n v="81.25"/>
  </r>
  <r>
    <x v="657"/>
    <n v="2024"/>
    <x v="0"/>
    <n v="78.239999999999995"/>
  </r>
  <r>
    <x v="658"/>
    <n v="2024"/>
    <x v="0"/>
    <n v="78.78"/>
  </r>
  <r>
    <x v="659"/>
    <n v="2024"/>
    <x v="0"/>
    <n v="79.430000000000007"/>
  </r>
  <r>
    <x v="660"/>
    <n v="2024"/>
    <x v="0"/>
    <n v="78.58"/>
  </r>
  <r>
    <x v="661"/>
    <n v="2024"/>
    <x v="0"/>
    <n v="77.27"/>
  </r>
  <r>
    <x v="662"/>
    <n v="2024"/>
    <x v="0"/>
    <n v="76.17"/>
  </r>
  <r>
    <x v="663"/>
    <n v="2024"/>
    <x v="0"/>
    <n v="79.36"/>
  </r>
  <r>
    <x v="664"/>
    <n v="2024"/>
    <x v="0"/>
    <n v="77.739999999999995"/>
  </r>
  <r>
    <x v="665"/>
    <n v="2024"/>
    <x v="0"/>
    <n v="74.989999999999995"/>
  </r>
  <r>
    <x v="666"/>
    <n v="2024"/>
    <x v="0"/>
    <n v="74.459999999999994"/>
  </r>
  <r>
    <x v="667"/>
    <n v="2024"/>
    <x v="0"/>
    <n v="74.599999999999994"/>
  </r>
  <r>
    <x v="668"/>
    <n v="2024"/>
    <x v="0"/>
    <n v="76.680000000000007"/>
  </r>
  <r>
    <x v="669"/>
    <n v="2024"/>
    <x v="0"/>
    <n v="77.64"/>
  </r>
  <r>
    <x v="670"/>
    <n v="2024"/>
    <x v="0"/>
    <n v="78.28"/>
  </r>
  <r>
    <x v="671"/>
    <n v="2024"/>
    <x v="0"/>
    <n v="81.45"/>
  </r>
  <r>
    <x v="672"/>
    <n v="2024"/>
    <x v="0"/>
    <n v="79.81"/>
  </r>
  <r>
    <x v="673"/>
    <n v="2024"/>
    <x v="0"/>
    <n v="78.47"/>
  </r>
  <r>
    <x v="674"/>
    <n v="2024"/>
    <x v="0"/>
    <n v="79.66"/>
  </r>
  <r>
    <x v="675"/>
    <n v="2024"/>
    <x v="0"/>
    <n v="78.05"/>
  </r>
  <r>
    <x v="676"/>
    <n v="2024"/>
    <x v="0"/>
    <n v="75.819999999999993"/>
  </r>
  <r>
    <x v="677"/>
    <n v="2024"/>
    <x v="0"/>
    <n v="75.27"/>
  </r>
  <r>
    <x v="678"/>
    <n v="2024"/>
    <x v="0"/>
    <n v="72.760000000000005"/>
  </r>
  <r>
    <x v="679"/>
    <n v="2024"/>
    <x v="0"/>
    <n v="73.72"/>
  </r>
  <r>
    <x v="680"/>
    <n v="2024"/>
    <x v="0"/>
    <n v="75.819999999999993"/>
  </r>
  <r>
    <x v="681"/>
    <n v="2024"/>
    <x v="0"/>
    <n v="78.400000000000006"/>
  </r>
  <r>
    <x v="682"/>
    <n v="2024"/>
    <x v="0"/>
    <n v="76.5"/>
  </r>
  <r>
    <x v="683"/>
    <n v="2024"/>
    <x v="0"/>
    <n v="75.489999999999995"/>
  </r>
  <r>
    <x v="684"/>
    <n v="2024"/>
    <x v="0"/>
    <n v="76.900000000000006"/>
  </r>
  <r>
    <x v="685"/>
    <n v="2024"/>
    <x v="0"/>
    <n v="74.52"/>
  </r>
  <r>
    <x v="686"/>
    <n v="2024"/>
    <x v="1"/>
    <m/>
  </r>
  <r>
    <x v="687"/>
    <n v="2024"/>
    <x v="0"/>
    <n v="71.28"/>
  </r>
  <r>
    <x v="688"/>
    <n v="2024"/>
    <x v="0"/>
    <n v="70.11"/>
  </r>
  <r>
    <x v="689"/>
    <n v="2024"/>
    <x v="0"/>
    <n v="70.09"/>
  </r>
  <r>
    <x v="690"/>
    <n v="2024"/>
    <x v="0"/>
    <n v="68.58"/>
  </r>
  <r>
    <x v="691"/>
    <n v="2024"/>
    <x v="0"/>
    <n v="69.650000000000006"/>
  </r>
  <r>
    <x v="692"/>
    <n v="2024"/>
    <x v="0"/>
    <n v="66.73"/>
  </r>
  <r>
    <x v="693"/>
    <n v="2024"/>
    <x v="0"/>
    <n v="68.25"/>
  </r>
  <r>
    <x v="694"/>
    <n v="2024"/>
    <x v="0"/>
    <n v="69.89"/>
  </r>
  <r>
    <x v="695"/>
    <n v="2024"/>
    <x v="0"/>
    <n v="69.59"/>
  </r>
  <r>
    <x v="696"/>
    <n v="2024"/>
    <x v="0"/>
    <n v="71.099999999999994"/>
  </r>
  <r>
    <x v="697"/>
    <n v="2024"/>
    <x v="0"/>
    <n v="72.16"/>
  </r>
  <r>
    <x v="698"/>
    <n v="2024"/>
    <x v="0"/>
    <n v="71.87"/>
  </r>
  <r>
    <x v="699"/>
    <n v="2024"/>
    <x v="0"/>
    <n v="72.86"/>
  </r>
  <r>
    <x v="700"/>
    <n v="2024"/>
    <x v="0"/>
    <n v="72.72"/>
  </r>
  <r>
    <x v="701"/>
    <n v="2024"/>
    <x v="0"/>
    <n v="71.33"/>
  </r>
  <r>
    <x v="702"/>
    <n v="2024"/>
    <x v="0"/>
    <n v="72.34"/>
  </r>
  <r>
    <x v="703"/>
    <n v="2024"/>
    <x v="0"/>
    <n v="70.42"/>
  </r>
  <r>
    <x v="704"/>
    <n v="2024"/>
    <x v="0"/>
    <n v="68.28"/>
  </r>
  <r>
    <x v="705"/>
    <n v="2024"/>
    <x v="0"/>
    <n v="68.72"/>
  </r>
  <r>
    <x v="706"/>
    <n v="2024"/>
    <x v="0"/>
    <n v="68.75"/>
  </r>
  <r>
    <x v="707"/>
    <n v="2024"/>
    <x v="0"/>
    <n v="70.41"/>
  </r>
  <r>
    <x v="708"/>
    <n v="2024"/>
    <x v="0"/>
    <n v="70.739999999999995"/>
  </r>
  <r>
    <x v="709"/>
    <n v="2024"/>
    <x v="0"/>
    <n v="74.33"/>
  </r>
  <r>
    <x v="710"/>
    <n v="2024"/>
    <x v="0"/>
    <n v="74.930000000000007"/>
  </r>
  <r>
    <x v="711"/>
    <n v="2024"/>
    <x v="0"/>
    <n v="77.760000000000005"/>
  </r>
  <r>
    <x v="712"/>
    <n v="2024"/>
    <x v="0"/>
    <n v="74.260000000000005"/>
  </r>
  <r>
    <x v="713"/>
    <n v="2024"/>
    <x v="0"/>
    <n v="73.849999999999994"/>
  </r>
  <r>
    <x v="714"/>
    <n v="2024"/>
    <x v="0"/>
    <n v="76.459999999999994"/>
  </r>
  <r>
    <x v="715"/>
    <n v="2024"/>
    <x v="0"/>
    <n v="76.11"/>
  </r>
  <r>
    <x v="716"/>
    <n v="2024"/>
    <x v="1"/>
    <m/>
  </r>
  <r>
    <x v="717"/>
    <n v="2024"/>
    <x v="0"/>
    <n v="71.22"/>
  </r>
  <r>
    <x v="718"/>
    <n v="2024"/>
    <x v="0"/>
    <n v="70.97"/>
  </r>
  <r>
    <x v="719"/>
    <n v="2024"/>
    <x v="0"/>
    <n v="71.260000000000005"/>
  </r>
  <r>
    <x v="720"/>
    <n v="2024"/>
    <x v="0"/>
    <n v="69.78"/>
  </r>
  <r>
    <x v="721"/>
    <n v="2024"/>
    <x v="0"/>
    <n v="71.16"/>
  </r>
  <r>
    <x v="722"/>
    <n v="2024"/>
    <x v="0"/>
    <n v="72.84"/>
  </r>
  <r>
    <x v="723"/>
    <n v="2024"/>
    <x v="0"/>
    <n v="71.37"/>
  </r>
  <r>
    <x v="724"/>
    <n v="2024"/>
    <x v="0"/>
    <n v="70.58"/>
  </r>
  <r>
    <x v="725"/>
    <n v="2024"/>
    <x v="0"/>
    <n v="72.02"/>
  </r>
  <r>
    <x v="726"/>
    <n v="2024"/>
    <x v="0"/>
    <n v="67.650000000000006"/>
  </r>
  <r>
    <x v="727"/>
    <n v="2024"/>
    <x v="0"/>
    <n v="67.48"/>
  </r>
  <r>
    <x v="728"/>
    <n v="2024"/>
    <x v="0"/>
    <n v="68.91"/>
  </r>
  <r>
    <x v="729"/>
    <n v="2024"/>
    <x v="0"/>
    <n v="69.58"/>
  </r>
  <r>
    <x v="730"/>
    <n v="2024"/>
    <x v="0"/>
    <n v="69.81"/>
  </r>
  <r>
    <x v="731"/>
    <n v="2024"/>
    <x v="0"/>
    <n v="71.83"/>
  </r>
  <r>
    <x v="732"/>
    <n v="2024"/>
    <x v="0"/>
    <n v="72.260000000000005"/>
  </r>
  <r>
    <x v="733"/>
    <n v="2024"/>
    <x v="0"/>
    <n v="71.98"/>
  </r>
  <r>
    <x v="734"/>
    <n v="2024"/>
    <x v="0"/>
    <n v="72.69"/>
  </r>
  <r>
    <x v="735"/>
    <n v="2024"/>
    <x v="0"/>
    <n v="70.69"/>
  </r>
  <r>
    <x v="736"/>
    <n v="2024"/>
    <x v="1"/>
    <m/>
  </r>
  <r>
    <x v="737"/>
    <n v="2024"/>
    <x v="0"/>
    <n v="68.430000000000007"/>
  </r>
  <r>
    <x v="738"/>
    <n v="2024"/>
    <x v="0"/>
    <n v="68.760000000000005"/>
  </r>
  <r>
    <x v="739"/>
    <n v="2024"/>
    <x v="0"/>
    <n v="68.989999999999995"/>
  </r>
  <r>
    <x v="740"/>
    <n v="2024"/>
    <x v="0"/>
    <n v="67.33"/>
  </r>
  <r>
    <x v="741"/>
    <n v="2024"/>
    <x v="0"/>
    <n v="69.459999999999994"/>
  </r>
  <r>
    <x v="742"/>
    <n v="2024"/>
    <x v="0"/>
    <n v="69.75"/>
  </r>
  <r>
    <x v="743"/>
    <n v="2024"/>
    <x v="0"/>
    <n v="69.25"/>
  </r>
  <r>
    <x v="744"/>
    <n v="2024"/>
    <x v="0"/>
    <n v="70.39"/>
  </r>
  <r>
    <x v="745"/>
    <n v="2024"/>
    <x v="0"/>
    <n v="71.680000000000007"/>
  </r>
  <r>
    <x v="746"/>
    <n v="2024"/>
    <x v="0"/>
    <n v="69.41"/>
  </r>
  <r>
    <x v="747"/>
    <n v="2024"/>
    <x v="0"/>
    <n v="69.05"/>
  </r>
  <r>
    <x v="748"/>
    <n v="2024"/>
    <x v="0"/>
    <n v="69.03"/>
  </r>
  <r>
    <x v="749"/>
    <n v="2024"/>
    <x v="1"/>
    <m/>
  </r>
  <r>
    <x v="750"/>
    <n v="2024"/>
    <x v="0"/>
    <n v="68.260000000000005"/>
  </r>
  <r>
    <x v="751"/>
    <n v="2024"/>
    <x v="0"/>
    <n v="68.349999999999994"/>
  </r>
  <r>
    <x v="752"/>
    <n v="2024"/>
    <x v="0"/>
    <n v="70.150000000000006"/>
  </r>
  <r>
    <x v="753"/>
    <n v="2024"/>
    <x v="0"/>
    <n v="68.81"/>
  </r>
  <r>
    <x v="754"/>
    <n v="2024"/>
    <x v="0"/>
    <n v="68.58"/>
  </r>
  <r>
    <x v="755"/>
    <n v="2024"/>
    <x v="0"/>
    <n v="68.58"/>
  </r>
  <r>
    <x v="756"/>
    <n v="2024"/>
    <x v="0"/>
    <n v="68.650000000000006"/>
  </r>
  <r>
    <x v="757"/>
    <n v="2024"/>
    <x v="0"/>
    <n v="68.849999999999994"/>
  </r>
  <r>
    <x v="758"/>
    <n v="2024"/>
    <x v="0"/>
    <n v="70.569999999999993"/>
  </r>
  <r>
    <x v="759"/>
    <n v="2024"/>
    <x v="0"/>
    <n v="70.25"/>
  </r>
  <r>
    <x v="760"/>
    <n v="2024"/>
    <x v="0"/>
    <n v="71.540000000000006"/>
  </r>
  <r>
    <x v="761"/>
    <n v="2024"/>
    <x v="0"/>
    <n v="71.03"/>
  </r>
  <r>
    <x v="762"/>
    <n v="2024"/>
    <x v="0"/>
    <n v="70.31"/>
  </r>
  <r>
    <x v="763"/>
    <n v="2024"/>
    <x v="0"/>
    <n v="70.8"/>
  </r>
  <r>
    <x v="764"/>
    <n v="2024"/>
    <x v="0"/>
    <n v="70.099999999999994"/>
  </r>
  <r>
    <x v="765"/>
    <n v="2024"/>
    <x v="0"/>
    <n v="69.709999999999994"/>
  </r>
  <r>
    <x v="766"/>
    <n v="2024"/>
    <x v="0"/>
    <n v="69.5"/>
  </r>
  <r>
    <x v="767"/>
    <n v="2024"/>
    <x v="0"/>
    <n v="70.87"/>
  </r>
  <r>
    <x v="768"/>
    <n v="2024"/>
    <x v="0"/>
    <n v="70.38"/>
  </r>
  <r>
    <x v="769"/>
    <n v="2024"/>
    <x v="0"/>
    <n v="71.28"/>
  </r>
  <r>
    <x v="770"/>
    <n v="2024"/>
    <x v="0"/>
    <n v="71.73"/>
  </r>
  <r>
    <x v="771"/>
    <n v="2024"/>
    <x v="0"/>
    <n v="72.44"/>
  </r>
  <r>
    <x v="772"/>
    <n v="2025"/>
    <x v="0"/>
    <n v="73.790000000000006"/>
  </r>
  <r>
    <x v="773"/>
    <n v="2025"/>
    <x v="0"/>
    <n v="74.64"/>
  </r>
  <r>
    <x v="774"/>
    <n v="2025"/>
    <x v="0"/>
    <n v="74.31"/>
  </r>
  <r>
    <x v="775"/>
    <n v="2025"/>
    <x v="0"/>
    <n v="74.989999999999995"/>
  </r>
  <r>
    <x v="776"/>
    <n v="2025"/>
    <x v="0"/>
    <n v="73.989999999999995"/>
  </r>
  <r>
    <x v="777"/>
    <n v="2025"/>
    <x v="1"/>
    <m/>
  </r>
  <r>
    <x v="778"/>
    <n v="2025"/>
    <x v="0"/>
    <n v="77.27"/>
  </r>
  <r>
    <x v="779"/>
    <n v="2025"/>
    <x v="0"/>
    <n v="79.569999999999993"/>
  </r>
  <r>
    <x v="780"/>
    <n v="2025"/>
    <x v="0"/>
    <n v="78.2"/>
  </r>
  <r>
    <x v="781"/>
    <n v="2025"/>
    <x v="0"/>
    <n v="80.73"/>
  </r>
  <r>
    <x v="782"/>
    <n v="2025"/>
    <x v="0"/>
    <n v="79.349999999999994"/>
  </r>
  <r>
    <x v="783"/>
    <n v="2025"/>
    <x v="0"/>
    <n v="78.56"/>
  </r>
  <r>
    <x v="784"/>
    <n v="2025"/>
    <x v="1"/>
    <m/>
  </r>
  <r>
    <x v="785"/>
    <n v="2025"/>
    <x v="0"/>
    <n v="76.790000000000006"/>
  </r>
  <r>
    <x v="786"/>
    <n v="2025"/>
    <x v="0"/>
    <n v="76.12"/>
  </r>
  <r>
    <x v="787"/>
    <n v="2025"/>
    <x v="0"/>
    <n v="75.03"/>
  </r>
  <r>
    <x v="788"/>
    <n v="2025"/>
    <x v="0"/>
    <n v="74.97"/>
  </r>
  <r>
    <x v="789"/>
    <n v="2025"/>
    <x v="0"/>
    <n v="73.510000000000005"/>
  </r>
  <r>
    <x v="790"/>
    <n v="2025"/>
    <x v="0"/>
    <n v="74.150000000000006"/>
  </r>
  <r>
    <x v="791"/>
    <n v="2025"/>
    <x v="0"/>
    <n v="72.94"/>
  </r>
  <r>
    <x v="792"/>
    <n v="2025"/>
    <x v="0"/>
    <n v="73.099999999999994"/>
  </r>
  <r>
    <x v="793"/>
    <n v="2025"/>
    <x v="0"/>
    <n v="72.84"/>
  </r>
  <r>
    <x v="794"/>
    <n v="2025"/>
    <x v="0"/>
    <n v="73.52"/>
  </r>
  <r>
    <x v="795"/>
    <n v="2025"/>
    <x v="0"/>
    <n v="73.040000000000006"/>
  </r>
  <r>
    <x v="796"/>
    <n v="2025"/>
    <x v="0"/>
    <n v="71.39"/>
  </r>
  <r>
    <x v="797"/>
    <n v="2025"/>
    <x v="0"/>
    <n v="70.97"/>
  </r>
  <r>
    <x v="798"/>
    <n v="2025"/>
    <x v="0"/>
    <n v="71.319999999999993"/>
  </r>
  <r>
    <x v="799"/>
    <n v="2025"/>
    <x v="0"/>
    <n v="72.73"/>
  </r>
  <r>
    <x v="800"/>
    <n v="2025"/>
    <x v="0"/>
    <n v="73.67"/>
  </r>
  <r>
    <x v="801"/>
    <n v="2025"/>
    <x v="0"/>
    <n v="71.72"/>
  </r>
  <r>
    <x v="802"/>
    <n v="2025"/>
    <x v="0"/>
    <n v="71.66"/>
  </r>
  <r>
    <x v="803"/>
    <n v="2025"/>
    <x v="0"/>
    <n v="71.05"/>
  </r>
  <r>
    <x v="804"/>
    <n v="2025"/>
    <x v="1"/>
    <m/>
  </r>
  <r>
    <x v="805"/>
    <n v="2025"/>
    <x v="0"/>
    <n v="72.209999999999994"/>
  </r>
  <r>
    <x v="806"/>
    <n v="2025"/>
    <x v="0"/>
    <n v="72.58"/>
  </r>
  <r>
    <x v="807"/>
    <n v="2025"/>
    <x v="0"/>
    <n v="72.88"/>
  </r>
  <r>
    <x v="808"/>
    <n v="2025"/>
    <x v="0"/>
    <n v="70.72"/>
  </r>
  <r>
    <x v="809"/>
    <n v="2025"/>
    <x v="0"/>
    <n v="71.06"/>
  </r>
  <r>
    <x v="810"/>
    <n v="2025"/>
    <x v="0"/>
    <n v="69.150000000000006"/>
  </r>
  <r>
    <x v="811"/>
    <n v="2025"/>
    <x v="0"/>
    <n v="68.87"/>
  </r>
  <r>
    <x v="812"/>
    <n v="2025"/>
    <x v="0"/>
    <n v="70.62"/>
  </r>
  <r>
    <x v="813"/>
    <n v="2025"/>
    <x v="0"/>
    <n v="69.97"/>
  </r>
  <r>
    <x v="814"/>
    <n v="2025"/>
    <x v="0"/>
    <n v="68.63"/>
  </r>
  <r>
    <x v="815"/>
    <n v="2025"/>
    <x v="0"/>
    <n v="68.47"/>
  </r>
  <r>
    <x v="816"/>
    <n v="2025"/>
    <x v="0"/>
    <n v="66.58"/>
  </r>
  <r>
    <x v="817"/>
    <n v="2025"/>
    <x v="0"/>
    <n v="66.62"/>
  </r>
  <r>
    <x v="818"/>
    <n v="2025"/>
    <x v="0"/>
    <n v="67.290000000000006"/>
  </r>
  <r>
    <x v="819"/>
    <n v="2025"/>
    <x v="0"/>
    <n v="66.31"/>
  </r>
  <r>
    <x v="820"/>
    <n v="2025"/>
    <x v="0"/>
    <n v="66.52"/>
  </r>
  <r>
    <x v="821"/>
    <n v="2025"/>
    <x v="0"/>
    <n v="67.650000000000006"/>
  </r>
  <r>
    <x v="822"/>
    <n v="2025"/>
    <x v="0"/>
    <n v="66.819999999999993"/>
  </r>
  <r>
    <x v="823"/>
    <n v="2025"/>
    <x v="0"/>
    <n v="67.430000000000007"/>
  </r>
  <r>
    <x v="824"/>
    <n v="2025"/>
    <x v="0"/>
    <n v="67.84"/>
  </r>
  <r>
    <x v="825"/>
    <n v="2025"/>
    <x v="0"/>
    <n v="67.489999999999995"/>
  </r>
  <r>
    <x v="826"/>
    <n v="2025"/>
    <x v="0"/>
    <n v="67.400000000000006"/>
  </r>
  <r>
    <x v="827"/>
    <n v="2025"/>
    <x v="0"/>
    <n v="68.55"/>
  </r>
  <r>
    <x v="828"/>
    <n v="2025"/>
    <x v="0"/>
    <n v="68.52"/>
  </r>
  <r>
    <x v="829"/>
    <n v="2025"/>
    <x v="0"/>
    <n v="69.459999999999994"/>
  </r>
  <r>
    <x v="830"/>
    <n v="2025"/>
    <x v="0"/>
    <n v="69.48"/>
  </r>
  <r>
    <x v="831"/>
    <n v="2025"/>
    <x v="0"/>
    <n v="70.05"/>
  </r>
  <r>
    <x v="832"/>
    <n v="2025"/>
    <x v="0"/>
    <n v="70.3"/>
  </r>
  <r>
    <x v="833"/>
    <n v="2025"/>
    <x v="0"/>
    <n v="69.739999999999995"/>
  </r>
  <r>
    <x v="834"/>
    <n v="2025"/>
    <x v="0"/>
    <n v="71.87"/>
  </r>
  <r>
    <x v="835"/>
    <n v="2025"/>
    <x v="0"/>
    <n v="71.61"/>
  </r>
  <r>
    <x v="836"/>
    <n v="2025"/>
    <x v="0"/>
    <n v="72.12"/>
  </r>
  <r>
    <x v="837"/>
    <n v="2025"/>
    <x v="0"/>
    <n v="67.430000000000007"/>
  </r>
  <r>
    <x v="838"/>
    <n v="2025"/>
    <x v="0"/>
    <n v="62.42"/>
  </r>
  <r>
    <x v="839"/>
    <n v="2025"/>
    <x v="0"/>
    <n v="61.05"/>
  </r>
  <r>
    <x v="840"/>
    <n v="2025"/>
    <x v="0"/>
    <n v="60.04"/>
  </r>
  <r>
    <x v="841"/>
    <n v="2025"/>
    <x v="0"/>
    <n v="62.63"/>
  </r>
  <r>
    <x v="842"/>
    <n v="2025"/>
    <x v="0"/>
    <n v="60.57"/>
  </r>
  <r>
    <x v="843"/>
    <n v="2025"/>
    <x v="0"/>
    <n v="61.91"/>
  </r>
  <r>
    <x v="844"/>
    <n v="2025"/>
    <x v="0"/>
    <n v="61.99"/>
  </r>
  <r>
    <x v="845"/>
    <n v="2025"/>
    <x v="0"/>
    <n v="61.74"/>
  </r>
  <r>
    <x v="846"/>
    <n v="2025"/>
    <x v="0"/>
    <n v="62.88"/>
  </r>
  <r>
    <x v="847"/>
    <n v="2025"/>
    <x v="0"/>
    <n v="65.069999999999993"/>
  </r>
  <r>
    <x v="848"/>
    <n v="2025"/>
    <x v="0"/>
    <n v="63.48"/>
  </r>
  <r>
    <x v="849"/>
    <n v="2025"/>
    <x v="0"/>
    <n v="64.599999999999994"/>
  </r>
  <r>
    <x v="850"/>
    <n v="2025"/>
    <x v="0"/>
    <n v="62.64"/>
  </r>
  <r>
    <x v="851"/>
    <n v="2025"/>
    <x v="0"/>
    <n v="63.55"/>
  </r>
  <r>
    <x v="852"/>
    <n v="2025"/>
    <x v="0"/>
    <n v="63.85"/>
  </r>
  <r>
    <x v="853"/>
    <n v="2025"/>
    <x v="0"/>
    <n v="63.3"/>
  </r>
  <r>
    <x v="854"/>
    <n v="2025"/>
    <x v="0"/>
    <n v="61.84"/>
  </r>
  <r>
    <x v="855"/>
    <n v="2025"/>
    <x v="0"/>
    <n v="59.55"/>
  </r>
  <r>
    <x v="856"/>
    <n v="2025"/>
    <x v="0"/>
    <n v="60.59"/>
  </r>
  <r>
    <x v="857"/>
    <n v="2025"/>
    <x v="0"/>
    <n v="59.67"/>
  </r>
  <r>
    <x v="858"/>
    <n v="2025"/>
    <x v="0"/>
    <n v="58.5"/>
  </r>
  <r>
    <x v="859"/>
    <n v="2025"/>
    <x v="0"/>
    <n v="60.42"/>
  </r>
  <r>
    <x v="860"/>
    <n v="2025"/>
    <x v="0"/>
    <n v="59.42"/>
  </r>
  <r>
    <x v="861"/>
    <n v="2025"/>
    <x v="0"/>
    <n v="61.25"/>
  </r>
  <r>
    <x v="862"/>
    <n v="2025"/>
    <x v="0"/>
    <n v="62.37"/>
  </r>
  <r>
    <x v="863"/>
    <n v="2025"/>
    <x v="0"/>
    <n v="63.32"/>
  </r>
  <r>
    <x v="864"/>
    <n v="2025"/>
    <x v="0"/>
    <n v="65.040000000000006"/>
  </r>
  <r>
    <x v="865"/>
    <n v="2025"/>
    <x v="0"/>
    <n v="64.48"/>
  </r>
  <r>
    <x v="866"/>
    <n v="2025"/>
    <x v="0"/>
    <n v="63.03"/>
  </r>
  <r>
    <x v="867"/>
    <n v="2025"/>
    <x v="0"/>
    <n v="63.84"/>
  </r>
  <r>
    <x v="868"/>
    <n v="2025"/>
    <x v="0"/>
    <n v="63.98"/>
  </r>
  <r>
    <x v="869"/>
    <n v="2025"/>
    <x v="0"/>
    <n v="63.97"/>
  </r>
  <r>
    <x v="870"/>
    <n v="2025"/>
    <x v="0"/>
    <n v="62.93"/>
  </r>
  <r>
    <x v="871"/>
    <n v="2025"/>
    <x v="0"/>
    <n v="62.55"/>
  </r>
  <r>
    <x v="872"/>
    <n v="2025"/>
    <x v="0"/>
    <n v="62.89"/>
  </r>
  <r>
    <x v="873"/>
    <n v="2025"/>
    <x v="0"/>
    <n v="61.61"/>
  </r>
  <r>
    <x v="874"/>
    <n v="2025"/>
    <x v="0"/>
    <n v="62.54"/>
  </r>
  <r>
    <x v="875"/>
    <n v="2025"/>
    <x v="0"/>
    <n v="61.66"/>
  </r>
  <r>
    <x v="876"/>
    <n v="2025"/>
    <x v="0"/>
    <n v="61.46"/>
  </r>
  <r>
    <x v="877"/>
    <n v="2025"/>
    <x v="0"/>
    <n v="63.27"/>
  </r>
  <r>
    <x v="878"/>
    <n v="2025"/>
    <x v="0"/>
    <n v="64.099999999999994"/>
  </r>
  <r>
    <x v="879"/>
    <n v="2025"/>
    <x v="0"/>
    <n v="63.57"/>
  </r>
  <r>
    <x v="880"/>
    <n v="2025"/>
    <x v="0"/>
    <n v="64.06"/>
  </r>
  <r>
    <x v="881"/>
    <n v="2025"/>
    <x v="0"/>
    <n v="65.3"/>
  </r>
  <r>
    <x v="882"/>
    <n v="2025"/>
    <x v="0"/>
    <n v="65.989999999999995"/>
  </r>
  <r>
    <x v="883"/>
    <n v="2025"/>
    <x v="0"/>
    <n v="65.66"/>
  </r>
  <r>
    <x v="884"/>
    <n v="2025"/>
    <x v="0"/>
    <n v="68.91"/>
  </r>
  <r>
    <x v="885"/>
    <n v="2025"/>
    <x v="0"/>
    <n v="68.73"/>
  </r>
  <r>
    <x v="886"/>
    <n v="2025"/>
    <x v="0"/>
    <n v="73.84"/>
  </r>
  <r>
    <x v="887"/>
    <n v="2025"/>
    <x v="0"/>
    <n v="72.53"/>
  </r>
  <r>
    <x v="888"/>
    <n v="2025"/>
    <x v="0"/>
    <n v="75.62"/>
  </r>
  <r>
    <x v="889"/>
    <n v="2025"/>
    <x v="0"/>
    <n v="75.89"/>
  </r>
  <r>
    <x v="890"/>
    <n v="2025"/>
    <x v="1"/>
    <m/>
  </r>
  <r>
    <x v="891"/>
    <n v="2025"/>
    <x v="0"/>
    <n v="75.72"/>
  </r>
  <r>
    <x v="892"/>
    <n v="2025"/>
    <x v="0"/>
    <n v="69.36"/>
  </r>
  <r>
    <x v="893"/>
    <n v="2025"/>
    <x v="0"/>
    <n v="65.45"/>
  </r>
  <r>
    <x v="894"/>
    <n v="2025"/>
    <x v="0"/>
    <n v="65.98"/>
  </r>
  <r>
    <x v="895"/>
    <n v="2025"/>
    <x v="0"/>
    <n v="66.44"/>
  </r>
  <r>
    <x v="896"/>
    <n v="2025"/>
    <x v="0"/>
    <n v="66.66"/>
  </r>
  <r>
    <x v="897"/>
    <n v="2025"/>
    <x v="0"/>
    <n v="66.3"/>
  </r>
  <r>
    <x v="898"/>
    <n v="2025"/>
    <x v="0"/>
    <n v="66.64"/>
  </r>
  <r>
    <x v="899"/>
    <n v="2025"/>
    <x v="0"/>
    <n v="68.66"/>
  </r>
  <r>
    <x v="900"/>
    <n v="2025"/>
    <x v="0"/>
    <n v="68.13"/>
  </r>
  <r>
    <x v="901"/>
    <n v="2025"/>
    <x v="1"/>
    <m/>
  </r>
  <r>
    <x v="902"/>
    <n v="2025"/>
    <x v="0"/>
    <n v="69.16"/>
  </r>
  <r>
    <x v="903"/>
    <n v="2025"/>
    <x v="0"/>
    <n v="69.55"/>
  </r>
  <r>
    <x v="904"/>
    <n v="2025"/>
    <x v="0"/>
    <n v="69.61"/>
  </r>
  <r>
    <x v="905"/>
    <n v="2025"/>
    <x v="0"/>
    <n v="67.78"/>
  </r>
  <r>
    <x v="906"/>
    <n v="2025"/>
    <x v="0"/>
    <n v="69.63"/>
  </r>
  <r>
    <x v="907"/>
    <n v="2025"/>
    <x v="0"/>
    <n v="68.19"/>
  </r>
  <r>
    <x v="908"/>
    <n v="2025"/>
    <x v="0"/>
    <n v="67.760000000000005"/>
  </r>
  <r>
    <x v="909"/>
    <n v="2025"/>
    <x v="0"/>
    <n v="67.13"/>
  </r>
  <r>
    <x v="910"/>
    <n v="2025"/>
    <x v="0"/>
    <n v="68.760000000000005"/>
  </r>
  <r>
    <x v="911"/>
    <n v="2025"/>
    <x v="0"/>
    <n v="68.53"/>
  </r>
  <r>
    <x v="912"/>
    <n v="2025"/>
    <x v="0"/>
    <n v="68.39"/>
  </r>
  <r>
    <x v="913"/>
    <n v="2025"/>
    <x v="0"/>
    <n v="67.56"/>
  </r>
  <r>
    <x v="914"/>
    <n v="2025"/>
    <x v="0"/>
    <n v="66.05"/>
  </r>
  <r>
    <x v="915"/>
    <n v="2025"/>
    <x v="0"/>
    <n v="67.16"/>
  </r>
  <r>
    <x v="916"/>
    <n v="2025"/>
    <x v="0"/>
    <n v="66.38"/>
  </r>
  <r>
    <x v="917"/>
    <n v="2025"/>
    <x v="0"/>
    <n v="67.81"/>
  </r>
  <r>
    <x v="918"/>
    <n v="2025"/>
    <x v="0"/>
    <n v="70.27"/>
  </r>
  <r>
    <x v="919"/>
    <n v="2025"/>
    <x v="0"/>
    <n v="71.09"/>
  </r>
  <r>
    <x v="920"/>
    <n v="2025"/>
    <x v="0"/>
    <n v="70.36"/>
  </r>
  <r>
    <x v="921"/>
    <n v="2025"/>
    <x v="0"/>
    <n v="68.39"/>
  </r>
  <r>
    <x v="922"/>
    <n v="2025"/>
    <x v="0"/>
    <n v="67.33"/>
  </r>
  <r>
    <x v="923"/>
    <n v="2025"/>
    <x v="0"/>
    <n v="66.2"/>
  </r>
  <r>
    <x v="924"/>
    <n v="2025"/>
    <x v="0"/>
    <n v="65.38"/>
  </r>
  <r>
    <x v="925"/>
    <n v="2025"/>
    <x v="0"/>
    <n v="64.900000000000006"/>
  </r>
  <r>
    <x v="926"/>
    <n v="2025"/>
    <x v="0"/>
    <n v="64.94"/>
  </r>
  <r>
    <x v="927"/>
    <n v="2025"/>
    <x v="0"/>
    <n v="65.03"/>
  </r>
  <r>
    <x v="928"/>
    <n v="2025"/>
    <x v="0"/>
    <n v="64.22"/>
  </r>
  <r>
    <x v="929"/>
    <n v="2025"/>
    <x v="0"/>
    <n v="63.68"/>
  </r>
  <r>
    <x v="930"/>
    <n v="2025"/>
    <x v="0"/>
    <n v="64.989999999999995"/>
  </r>
  <r>
    <x v="931"/>
    <n v="2025"/>
    <x v="0"/>
    <n v="63.78"/>
  </r>
  <r>
    <x v="932"/>
    <n v="2025"/>
    <x v="0"/>
    <n v="64.510000000000005"/>
  </r>
  <r>
    <x v="933"/>
    <n v="2025"/>
    <x v="0"/>
    <n v="63.38"/>
  </r>
  <r>
    <x v="934"/>
    <n v="2025"/>
    <x v="0"/>
    <n v="64.19"/>
  </r>
  <r>
    <x v="935"/>
    <n v="2025"/>
    <x v="0"/>
    <n v="64.56"/>
  </r>
  <r>
    <x v="936"/>
    <n v="2025"/>
    <x v="0"/>
    <n v="64.08"/>
  </r>
  <r>
    <x v="937"/>
    <n v="2025"/>
    <x v="0"/>
    <n v="65.180000000000007"/>
  </r>
  <r>
    <x v="938"/>
    <n v="2025"/>
    <x v="0"/>
    <n v="63.6"/>
  </r>
  <r>
    <x v="939"/>
    <n v="2025"/>
    <x v="0"/>
    <n v="64.489999999999995"/>
  </r>
  <r>
    <x v="940"/>
    <n v="2025"/>
    <x v="0"/>
    <n v="64.959999999999994"/>
  </r>
  <r>
    <x v="941"/>
    <n v="2025"/>
    <x v="0"/>
    <n v="64.36"/>
  </r>
  <r>
    <x v="942"/>
    <n v="2025"/>
    <x v="1"/>
    <m/>
  </r>
  <r>
    <x v="943"/>
    <n v="2025"/>
    <x v="0"/>
    <n v="65.95"/>
  </r>
  <r>
    <x v="944"/>
    <n v="2025"/>
    <x v="0"/>
    <n v="64.36"/>
  </r>
  <r>
    <x v="945"/>
    <n v="2025"/>
    <x v="0"/>
    <n v="63.81"/>
  </r>
  <r>
    <x v="946"/>
    <n v="2025"/>
    <x v="0"/>
    <n v="62.22"/>
  </r>
  <r>
    <x v="947"/>
    <n v="2025"/>
    <x v="0"/>
    <n v="62.6"/>
  </r>
  <r>
    <x v="948"/>
    <n v="2025"/>
    <x v="0"/>
    <n v="62.97"/>
  </r>
  <r>
    <x v="949"/>
    <n v="2025"/>
    <x v="0"/>
    <n v="64.010000000000005"/>
  </r>
  <r>
    <x v="950"/>
    <n v="2025"/>
    <x v="0"/>
    <n v="62.71"/>
  </r>
  <r>
    <x v="951"/>
    <n v="2025"/>
    <x v="0"/>
    <n v="63.02"/>
  </r>
  <r>
    <x v="952"/>
    <n v="2025"/>
    <x v="0"/>
    <n v="63.66"/>
  </r>
  <r>
    <x v="953"/>
    <n v="2025"/>
    <x v="0"/>
    <n v="64.89"/>
  </r>
  <r>
    <x v="954"/>
    <n v="2025"/>
    <x v="0"/>
    <n v="64.41"/>
  </r>
  <r>
    <x v="955"/>
    <n v="2025"/>
    <x v="0"/>
    <n v="63.91"/>
  </r>
  <r>
    <x v="956"/>
    <n v="2025"/>
    <x v="0"/>
    <n v="63.02"/>
  </r>
  <r>
    <x v="957"/>
    <n v="2025"/>
    <x v="0"/>
    <n v="62.99"/>
  </r>
  <r>
    <x v="958"/>
    <n v="2025"/>
    <x v="0"/>
    <n v="63.76"/>
  </r>
  <r>
    <x v="959"/>
    <n v="2025"/>
    <x v="0"/>
    <n v="65.400000000000006"/>
  </r>
  <r>
    <x v="960"/>
    <n v="2025"/>
    <x v="0"/>
    <n v="65.510000000000005"/>
  </r>
  <r>
    <x v="961"/>
    <n v="2025"/>
    <x v="0"/>
    <n v="66.5"/>
  </r>
  <r>
    <x v="962"/>
    <n v="2025"/>
    <x v="0"/>
    <n v="64.27"/>
  </r>
  <r>
    <x v="963"/>
    <n v="2025"/>
    <x v="0"/>
    <n v="63.17"/>
  </r>
  <r>
    <x v="964"/>
    <n v="2025"/>
    <x v="0"/>
    <n v="62.59"/>
  </r>
  <r>
    <x v="965"/>
    <n v="2025"/>
    <x v="0"/>
    <n v="61.28"/>
  </r>
  <r>
    <x v="966"/>
    <n v="2025"/>
    <x v="0"/>
    <n v="61.65"/>
  </r>
  <r>
    <x v="967"/>
    <n v="2025"/>
    <x v="0"/>
    <n v="62.49"/>
  </r>
  <r>
    <x v="968"/>
    <n v="2025"/>
    <x v="0"/>
    <n v="62.52"/>
  </r>
  <r>
    <x v="969"/>
    <n v="2025"/>
    <x v="0"/>
    <n v="63.37"/>
  </r>
  <r>
    <x v="970"/>
    <n v="2025"/>
    <x v="0"/>
    <n v="62.36"/>
  </r>
  <r>
    <x v="971"/>
    <n v="2025"/>
    <x v="0"/>
    <n v="59.75"/>
  </r>
  <r>
    <x v="972"/>
    <n v="2025"/>
    <x v="1"/>
    <m/>
  </r>
  <r>
    <x v="973"/>
    <n v="2025"/>
    <x v="0"/>
    <n v="59.52"/>
  </r>
  <r>
    <x v="974"/>
    <n v="2025"/>
    <x v="0"/>
    <n v="59.08"/>
  </r>
  <r>
    <x v="975"/>
    <n v="2025"/>
    <x v="0"/>
    <n v="58.29"/>
  </r>
  <r>
    <x v="976"/>
    <n v="2025"/>
    <x v="0"/>
    <n v="58.3"/>
  </r>
  <r>
    <x v="977"/>
    <n v="2025"/>
    <x v="0"/>
    <n v="58.34"/>
  </r>
  <r>
    <x v="978"/>
    <n v="2025"/>
    <x v="0"/>
    <n v="58.66"/>
  </r>
  <r>
    <x v="979"/>
    <n v="2025"/>
    <x v="0"/>
    <n v="59.3"/>
  </r>
  <r>
    <x v="980"/>
    <n v="2025"/>
    <x v="0"/>
    <n v="62.44"/>
  </r>
  <r>
    <x v="981"/>
    <n v="2025"/>
    <x v="0"/>
    <n v="62.27"/>
  </r>
  <r>
    <x v="982"/>
    <n v="2025"/>
    <x v="0"/>
    <n v="62.13"/>
  </r>
  <r>
    <x v="983"/>
    <n v="2025"/>
    <x v="0"/>
    <n v="60.97"/>
  </r>
  <r>
    <x v="984"/>
    <n v="2025"/>
    <x v="0"/>
    <n v="61.26"/>
  </r>
  <r>
    <x v="985"/>
    <n v="2025"/>
    <x v="0"/>
    <n v="61.36"/>
  </r>
  <r>
    <x v="986"/>
    <n v="2025"/>
    <x v="0"/>
    <n v="61.75"/>
  </r>
  <r>
    <x v="987"/>
    <n v="2025"/>
    <x v="0"/>
    <n v="61.79"/>
  </r>
  <r>
    <x v="988"/>
    <n v="2025"/>
    <x v="0"/>
    <n v="61.38"/>
  </r>
  <r>
    <x v="989"/>
    <n v="2025"/>
    <x v="0"/>
    <n v="60.4"/>
  </r>
  <r>
    <x v="990"/>
    <n v="2025"/>
    <x v="0"/>
    <n v="60.24"/>
  </r>
  <r>
    <x v="991"/>
    <n v="2025"/>
    <x v="0"/>
    <n v="60.54"/>
  </r>
  <r>
    <x v="992"/>
    <n v="2025"/>
    <x v="0"/>
    <n v="60.94"/>
  </r>
  <r>
    <x v="993"/>
    <n v="2025"/>
    <x v="1"/>
    <m/>
  </r>
  <r>
    <x v="994"/>
    <n v="2025"/>
    <x v="0"/>
    <n v="59.3"/>
  </r>
  <r>
    <x v="995"/>
    <n v="2025"/>
    <x v="0"/>
    <n v="59.54"/>
  </r>
  <r>
    <x v="996"/>
    <n v="2025"/>
    <x v="0"/>
    <n v="60.87"/>
  </r>
  <r>
    <x v="997"/>
    <n v="2025"/>
    <x v="0"/>
    <n v="60.66"/>
  </r>
  <r>
    <x v="998"/>
    <n v="2025"/>
    <x v="0"/>
    <n v="61.51"/>
  </r>
  <r>
    <x v="999"/>
    <n v="2025"/>
    <x v="0"/>
    <n v="60.27"/>
  </r>
  <r>
    <x v="1000"/>
    <n v="2025"/>
    <x v="0"/>
    <n v="60.07"/>
  </r>
  <r>
    <x v="1001"/>
    <n v="2025"/>
    <x v="0"/>
    <n v="58.86"/>
  </r>
  <r>
    <x v="1002"/>
    <n v="2025"/>
    <x v="0"/>
    <n v="59.11"/>
  </r>
  <r>
    <x v="1003"/>
    <n v="2025"/>
    <x v="0"/>
    <n v="58.25"/>
  </r>
  <r>
    <x v="1004"/>
    <n v="2025"/>
    <x v="0"/>
    <n v="58.81"/>
  </r>
  <r>
    <x v="1005"/>
    <n v="2025"/>
    <x v="1"/>
    <m/>
  </r>
  <r>
    <x v="1006"/>
    <n v="2025"/>
    <x v="0"/>
    <n v="58.58"/>
  </r>
  <r>
    <x v="1007"/>
    <n v="2025"/>
    <x v="0"/>
    <n v="59.47"/>
  </r>
  <r>
    <x v="1008"/>
    <n v="2025"/>
    <x v="0"/>
    <n v="58.81"/>
  </r>
  <r>
    <x v="1009"/>
    <n v="2025"/>
    <x v="0"/>
    <n v="59.09"/>
  </r>
  <r>
    <x v="1010"/>
    <n v="2025"/>
    <x v="0"/>
    <n v="59.82"/>
  </r>
  <r>
    <x v="1011"/>
    <n v="2025"/>
    <x v="0"/>
    <n v="60.23"/>
  </r>
  <r>
    <x v="1012"/>
    <n v="2025"/>
    <x v="0"/>
    <n v="59.04"/>
  </r>
  <r>
    <x v="1013"/>
    <n v="2025"/>
    <x v="0"/>
    <n v="58.4"/>
  </r>
  <r>
    <x v="1014"/>
    <n v="2025"/>
    <x v="0"/>
    <n v="58.67"/>
  </r>
  <r>
    <x v="1015"/>
    <n v="2025"/>
    <x v="0"/>
    <n v="57.76"/>
  </r>
  <r>
    <x v="1016"/>
    <n v="2025"/>
    <x v="0"/>
    <n v="57.61"/>
  </r>
  <r>
    <x v="1017"/>
    <n v="2025"/>
    <x v="0"/>
    <n v="56.97"/>
  </r>
  <r>
    <x v="1018"/>
    <n v="2025"/>
    <x v="0"/>
    <n v="55.44"/>
  </r>
  <r>
    <x v="1019"/>
    <n v="2025"/>
    <x v="0"/>
    <n v="56.07"/>
  </r>
  <r>
    <x v="1020"/>
    <n v="2025"/>
    <x v="0"/>
    <n v="56.22"/>
  </r>
  <r>
    <x v="1021"/>
    <n v="2025"/>
    <x v="0"/>
    <n v="56.8"/>
  </r>
  <r>
    <x v="1022"/>
    <n v="2025"/>
    <x v="0"/>
    <n v="58.18"/>
  </r>
  <r>
    <x v="1023"/>
    <n v="2025"/>
    <x v="0"/>
    <n v="58.55"/>
  </r>
  <r>
    <x v="1024"/>
    <n v="2025"/>
    <x v="0"/>
    <n v="58.72"/>
  </r>
  <r>
    <x v="1025"/>
    <n v="2025"/>
    <x v="0"/>
    <n v="56.6"/>
  </r>
  <r>
    <x v="1026"/>
    <n v="2025"/>
    <x v="0"/>
    <n v="57.89"/>
  </r>
  <r>
    <x v="1027"/>
    <n v="2025"/>
    <x v="0"/>
    <n v="57.79"/>
  </r>
  <r>
    <x v="1028"/>
    <n v="2025"/>
    <x v="0"/>
    <n v="57.26"/>
  </r>
  <r>
    <x v="1029"/>
    <n v="2026"/>
    <x v="0"/>
    <n v="57.21"/>
  </r>
  <r>
    <x v="1030"/>
    <n v="2026"/>
    <x v="0"/>
    <n v="58.1"/>
  </r>
  <r>
    <x v="1031"/>
    <n v="2026"/>
    <x v="0"/>
    <n v="56.97"/>
  </r>
  <r>
    <x v="1032"/>
    <n v="2026"/>
    <x v="0"/>
    <n v="56.01"/>
  </r>
  <r>
    <x v="1033"/>
    <n v="2026"/>
    <x v="0"/>
    <n v="57.74"/>
  </r>
  <r>
    <x v="1034"/>
    <n v="2026"/>
    <x v="0"/>
    <n v="58.96"/>
  </r>
  <r>
    <x v="1035"/>
    <n v="2026"/>
    <x v="0"/>
    <n v="59.39"/>
  </r>
  <r>
    <x v="1036"/>
    <n v="2026"/>
    <x v="0"/>
    <n v="60.85"/>
  </r>
  <r>
    <x v="1037"/>
    <n v="2026"/>
    <x v="0"/>
    <n v="61.84"/>
  </r>
  <r>
    <x v="1038"/>
    <n v="2026"/>
    <x v="0"/>
    <n v="59.13"/>
  </r>
  <r>
    <x v="1039"/>
    <n v="2026"/>
    <x v="0"/>
    <n v="59.4"/>
  </r>
  <r>
    <x v="1040"/>
    <n v="2026"/>
    <x v="1"/>
    <m/>
  </r>
  <r>
    <x v="1041"/>
    <n v="2026"/>
    <x v="0"/>
    <n v="60.3"/>
  </r>
  <r>
    <x v="1042"/>
    <n v="2026"/>
    <x v="0"/>
    <n v="60.38"/>
  </r>
  <r>
    <x v="1043"/>
    <n v="2026"/>
    <x v="0"/>
    <n v="59.24"/>
  </r>
  <r>
    <x v="1044"/>
    <n v="2026"/>
    <x v="0"/>
    <n v="60.7"/>
  </r>
  <r>
    <x v="1045"/>
    <n v="2026"/>
    <x v="0"/>
    <n v="60.46"/>
  </r>
  <r>
    <x v="1046"/>
    <n v="2026"/>
    <x v="0"/>
    <n v="62.04"/>
  </r>
  <r>
    <x v="1047"/>
    <n v="2026"/>
    <x v="0"/>
    <n v="62.75"/>
  </r>
  <r>
    <x v="1048"/>
    <n v="2026"/>
    <x v="0"/>
    <n v="64.77"/>
  </r>
  <r>
    <x v="1049"/>
    <n v="2026"/>
    <x v="0"/>
    <n v="64.5"/>
  </r>
  <r>
    <x v="1050"/>
    <n v="2026"/>
    <x v="0"/>
    <n v="61.6"/>
  </r>
  <r>
    <x v="1051"/>
    <n v="2026"/>
    <x v="0"/>
    <n v="62.62"/>
  </r>
  <r>
    <x v="1052"/>
    <n v="2026"/>
    <x v="0"/>
    <n v="64.56"/>
  </r>
  <r>
    <x v="1053"/>
    <n v="2026"/>
    <x v="0"/>
    <n v="62.9"/>
  </r>
  <r>
    <x v="1054"/>
    <n v="2026"/>
    <x v="0"/>
    <n v="63.77"/>
  </r>
  <r>
    <x v="1055"/>
    <n v="2026"/>
    <x v="0"/>
    <n v="64.53"/>
  </r>
  <r>
    <x v="1056"/>
    <n v="2026"/>
    <x v="0"/>
    <n v="64.2"/>
  </r>
  <r>
    <x v="1057"/>
    <n v="2026"/>
    <x v="0"/>
    <n v="64.8"/>
  </r>
  <r>
    <x v="1058"/>
    <n v="2026"/>
    <x v="0"/>
    <n v="63.08"/>
  </r>
  <r>
    <x v="1059"/>
    <n v="2026"/>
    <x v="0"/>
    <n v="63.05"/>
  </r>
  <r>
    <x v="1060"/>
    <n v="2026"/>
    <x v="1"/>
    <m/>
  </r>
  <r>
    <x v="1061"/>
    <n v="2026"/>
    <x v="0"/>
    <n v="62.53"/>
  </r>
  <r>
    <x v="1062"/>
    <n v="2026"/>
    <x v="0"/>
    <n v="65.33"/>
  </r>
  <r>
    <x v="1063"/>
    <n v="2026"/>
    <x v="0"/>
    <n v="66.66"/>
  </r>
  <r>
    <x v="1064"/>
    <n v="2026"/>
    <x v="0"/>
    <n v="66.69"/>
  </r>
  <r>
    <x v="1065"/>
    <n v="2026"/>
    <x v="0"/>
    <n v="66.36"/>
  </r>
  <r>
    <x v="1066"/>
    <n v="2026"/>
    <x v="0"/>
    <n v="65.62"/>
  </r>
  <r>
    <x v="1067"/>
    <n v="2026"/>
    <x v="0"/>
    <n v="65.3"/>
  </r>
  <r>
    <x v="1068"/>
    <n v="2026"/>
    <x v="0"/>
    <n v="65.099999999999994"/>
  </r>
  <r>
    <x v="1069"/>
    <n v="2026"/>
    <x v="0"/>
    <n v="66.959999999999994"/>
  </r>
  <r>
    <x v="1070"/>
    <n v="2026"/>
    <x v="0"/>
    <n v="71.13"/>
  </r>
  <r>
    <x v="1071"/>
    <n v="2026"/>
    <x v="0"/>
    <n v="74.48"/>
  </r>
  <r>
    <x v="1072"/>
    <n v="2026"/>
    <x v="0"/>
    <n v="74.58"/>
  </r>
  <r>
    <x v="1073"/>
    <n v="2026"/>
    <x v="0"/>
    <n v="80.88"/>
  </r>
  <r>
    <x v="1074"/>
    <n v="2026"/>
    <x v="0"/>
    <n v="90.77"/>
  </r>
  <r>
    <x v="1075"/>
    <n v="2026"/>
    <x v="0"/>
    <n v="94.65"/>
  </r>
  <r>
    <x v="1076"/>
    <n v="2026"/>
    <x v="0"/>
    <n v="83.71"/>
  </r>
  <r>
    <x v="1077"/>
    <n v="2026"/>
    <x v="0"/>
    <n v="86.8"/>
  </r>
  <r>
    <x v="1078"/>
    <n v="2026"/>
    <x v="0"/>
    <n v="95.61"/>
  </r>
  <r>
    <x v="1079"/>
    <n v="2026"/>
    <x v="0"/>
    <n v="98.48"/>
  </r>
  <r>
    <x v="1080"/>
    <n v="2026"/>
    <x v="0"/>
    <n v="93.39"/>
  </r>
  <r>
    <x v="1081"/>
    <n v="2026"/>
    <x v="0"/>
    <n v="96.01"/>
  </r>
  <r>
    <x v="1082"/>
    <n v="2026"/>
    <x v="0"/>
    <n v="96.12"/>
  </r>
  <r>
    <x v="1083"/>
    <n v="2026"/>
    <x v="0"/>
    <n v="96.11"/>
  </r>
  <r>
    <x v="1084"/>
    <n v="2026"/>
    <x v="0"/>
    <n v="98.71"/>
  </r>
  <r>
    <x v="1085"/>
    <n v="2026"/>
    <x v="0"/>
    <n v="89.3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x v="0"/>
    <n v="87.49"/>
    <n v="83.221999999999994"/>
  </r>
  <r>
    <x v="1"/>
    <x v="0"/>
    <n v="91.54"/>
    <n v="91.641052631578944"/>
  </r>
  <r>
    <x v="2"/>
    <x v="0"/>
    <n v="98.98"/>
    <n v="108.50260869565219"/>
  </r>
  <r>
    <x v="3"/>
    <x v="0"/>
    <n v="110.83"/>
    <n v="101.77749999999999"/>
  </r>
  <r>
    <x v="4"/>
    <x v="0"/>
    <n v="120.3"/>
    <n v="109.55238095238097"/>
  </r>
  <r>
    <x v="5"/>
    <x v="0"/>
    <n v="121.08"/>
    <n v="114.83714285714285"/>
  </r>
  <r>
    <x v="6"/>
    <x v="0"/>
    <n v="121.53"/>
    <n v="101.61899999999999"/>
  </r>
  <r>
    <x v="7"/>
    <x v="0"/>
    <n v="111.87"/>
    <n v="93.665217391304353"/>
  </r>
  <r>
    <x v="8"/>
    <x v="0"/>
    <n v="112.22"/>
    <n v="84.258095238095251"/>
  </r>
  <r>
    <x v="9"/>
    <x v="0"/>
    <n v="111.4"/>
    <n v="87.554761904761904"/>
  </r>
  <r>
    <x v="10"/>
    <x v="0"/>
    <n v="115.38"/>
    <n v="84.370476190476182"/>
  </r>
  <r>
    <x v="11"/>
    <x v="0"/>
    <n v="101.83"/>
    <n v="76.437142857142888"/>
  </r>
  <r>
    <x v="0"/>
    <x v="1"/>
    <n v="99.1"/>
    <n v="78.123000000000019"/>
  </r>
  <r>
    <x v="1"/>
    <x v="1"/>
    <n v="100.7"/>
    <n v="76.832631578947371"/>
  </r>
  <r>
    <x v="2"/>
    <x v="1"/>
    <n v="92.57"/>
    <n v="73.277826086956523"/>
  </r>
  <r>
    <x v="3"/>
    <x v="1"/>
    <n v="89.04"/>
    <n v="79.446315789473672"/>
  </r>
  <r>
    <x v="4"/>
    <x v="1"/>
    <n v="83.19"/>
    <n v="71.578181818181804"/>
  </r>
  <r>
    <x v="5"/>
    <x v="1"/>
    <n v="81.02"/>
    <n v="70.248095238095246"/>
  </r>
  <r>
    <x v="6"/>
    <x v="1"/>
    <n v="83.12"/>
    <n v="76.069499999999977"/>
  </r>
  <r>
    <x v="7"/>
    <x v="1"/>
    <n v="91.67"/>
    <n v="81.386086956521751"/>
  </r>
  <r>
    <x v="8"/>
    <x v="1"/>
    <n v="100.43"/>
    <n v="89.425000000000026"/>
  </r>
  <r>
    <x v="9"/>
    <x v="1"/>
    <n v="102.97"/>
    <n v="85.639523809523794"/>
  </r>
  <r>
    <x v="10"/>
    <x v="1"/>
    <n v="96.53"/>
    <n v="77.684999999999988"/>
  </r>
  <r>
    <x v="11"/>
    <x v="1"/>
    <n v="88.05"/>
    <n v="71.900000000000006"/>
  </r>
  <r>
    <x v="0"/>
    <x v="2"/>
    <n v="85.87"/>
    <n v="74.152380952380966"/>
  </r>
  <r>
    <x v="1"/>
    <x v="2"/>
    <n v="90.66"/>
    <n v="77.248999999999995"/>
  </r>
  <r>
    <x v="2"/>
    <x v="2"/>
    <n v="91.29"/>
    <n v="81.278000000000006"/>
  </r>
  <r>
    <x v="3"/>
    <x v="2"/>
    <n v="90.23"/>
    <n v="85.347272727272724"/>
  </r>
  <r>
    <x v="4"/>
    <x v="2"/>
    <n v="86.97"/>
    <n v="80.024545454545489"/>
  </r>
  <r>
    <x v="5"/>
    <x v="2"/>
    <n v="84.35"/>
    <n v="79.767368421052609"/>
  </r>
  <r>
    <x v="6"/>
    <x v="2"/>
    <n v="86.37"/>
    <n v="81.800454545454542"/>
  </r>
  <r>
    <x v="7"/>
    <x v="2"/>
    <n v="83.84"/>
    <n v="76.683181818181822"/>
  </r>
  <r>
    <x v="8"/>
    <x v="2"/>
    <n v="80.260000000000005"/>
    <n v="70.236000000000004"/>
  </r>
  <r>
    <x v="9"/>
    <x v="2"/>
    <n v="78.72"/>
    <n v="71.984999999999999"/>
  </r>
  <r>
    <x v="10"/>
    <x v="2"/>
    <n v="79.760000000000005"/>
    <n v="69.95"/>
  </r>
  <r>
    <x v="11"/>
    <x v="2"/>
    <n v="80.319999999999993"/>
    <n v="70.118095238095222"/>
  </r>
  <r>
    <x v="0"/>
    <x v="3"/>
    <n v="82.32"/>
    <n v="75.742500000000007"/>
  </r>
  <r>
    <x v="1"/>
    <x v="3"/>
    <n v="86.03"/>
    <n v="71.533157894736831"/>
  </r>
  <r>
    <x v="2"/>
    <x v="3"/>
    <n v="84.34"/>
    <n v="68.239047619047625"/>
  </r>
  <r>
    <x v="3"/>
    <x v="3"/>
    <n v="81.12"/>
    <n v="63.536666666666655"/>
  </r>
  <r>
    <x v="4"/>
    <x v="3"/>
    <n v="78.55"/>
    <n v="62.167619047619048"/>
  </r>
  <r>
    <x v="5"/>
    <x v="3"/>
    <n v="79.319999999999993"/>
    <n v="68.169000000000011"/>
  </r>
  <r>
    <x v="6"/>
    <x v="3"/>
    <n v="85.11"/>
    <n v="68.390909090909091"/>
  </r>
  <r>
    <x v="7"/>
    <x v="3"/>
    <n v="87.18"/>
    <n v="64.864285714285714"/>
  </r>
  <r>
    <x v="8"/>
    <x v="3"/>
    <n v="85.02"/>
    <n v="63.959047619047624"/>
  </r>
  <r>
    <x v="9"/>
    <x v="3"/>
    <n v="85.92"/>
    <n v="60.894545454545458"/>
  </r>
  <r>
    <x v="10"/>
    <x v="3"/>
    <n v="86.11"/>
    <n v="60.062222222222218"/>
  </r>
  <r>
    <x v="11"/>
    <x v="3"/>
    <n v="86.36"/>
    <n v="57.972272727272731"/>
  </r>
  <r>
    <x v="0"/>
    <x v="4"/>
    <n v="81.27"/>
    <n v="60.036999999999992"/>
  </r>
  <r>
    <x v="1"/>
    <x v="4"/>
    <n v="84.78"/>
    <n v="64.508421052631576"/>
  </r>
  <r>
    <x v="2"/>
    <x v="4"/>
    <n v="95.33"/>
    <n v="88.7975000000000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C8D2C-1D9D-43FC-963B-0BD9B0B0991D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60" firstHeaderRow="0" firstDataRow="1" firstDataCol="1"/>
  <pivotFields count="4">
    <pivotField axis="axisRow" showAll="0">
      <items count="13">
        <item x="3"/>
        <item x="7"/>
        <item x="11"/>
        <item x="0"/>
        <item x="1"/>
        <item x="6"/>
        <item x="5"/>
        <item x="2"/>
        <item x="4"/>
        <item x="10"/>
        <item x="9"/>
        <item x="8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numFmtId="44" showAll="0"/>
    <pivotField dataField="1" numFmtId="44" showAll="0"/>
  </pivotFields>
  <rowFields count="2">
    <field x="1"/>
    <field x="0"/>
  </rowFields>
  <rowItems count="5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 v="3"/>
    </i>
    <i r="1">
      <x v="4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VG DIESEL HN" fld="2" subtotal="average" baseField="1" baseItem="0" numFmtId="44"/>
    <dataField name="AVG OK WIT" fld="3" subtotal="average" baseField="1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6301E-5914-4C2D-83C5-CCD8FFE37CF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G3:J55" firstHeaderRow="1" firstDataRow="1" firstDataCol="3" rowPageCount="1" colPageCount="1"/>
  <pivotFields count="7">
    <pivotField axis="axisRow" compact="0" numFmtId="164" outline="0" showAll="0">
      <items count="10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3">
        <item h="1"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sd="0" x="0"/>
        <item x="1"/>
        <item x="2"/>
        <item x="3"/>
        <item x="4"/>
        <item x="5"/>
        <item sd="0" x="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6"/>
    <field x="4"/>
    <field x="0"/>
  </rowFields>
  <rowItems count="52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  <x v="1"/>
    </i>
    <i r="1">
      <x v="2"/>
    </i>
    <i r="1">
      <x v="3"/>
    </i>
    <i t="grand">
      <x/>
    </i>
  </rowItems>
  <colItems count="1">
    <i/>
  </colItems>
  <pageFields count="1">
    <pageField fld="2" hier="-1"/>
  </pageFields>
  <dataFields count="1">
    <dataField name="WIT Crude" fld="3" subtotal="average" baseField="5" baseItem="1" numFmtId="44"/>
  </dataFields>
  <formats count="1">
    <format dxfId="4">
      <pivotArea outline="0" collapsedLevelsAreSubtotals="1" fieldPosition="0"/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F06CE-E71F-435D-9A7B-C92AE3D09AC3}">
  <dimension ref="A3:C60"/>
  <sheetViews>
    <sheetView workbookViewId="0">
      <selection activeCell="C4" sqref="C4"/>
    </sheetView>
  </sheetViews>
  <sheetFormatPr defaultRowHeight="15"/>
  <cols>
    <col min="1" max="1" width="14.5703125" bestFit="1" customWidth="1"/>
    <col min="2" max="2" width="17.5703125" bestFit="1" customWidth="1"/>
    <col min="3" max="3" width="20.5703125" bestFit="1" customWidth="1"/>
  </cols>
  <sheetData>
    <row r="3" spans="1:3">
      <c r="A3" s="9" t="s">
        <v>29</v>
      </c>
      <c r="B3" t="s">
        <v>55</v>
      </c>
      <c r="C3" t="s">
        <v>56</v>
      </c>
    </row>
    <row r="4" spans="1:3">
      <c r="A4" s="10">
        <v>2022</v>
      </c>
      <c r="B4" s="13">
        <v>108.70416666666667</v>
      </c>
      <c r="C4" s="13">
        <v>94.786448226544607</v>
      </c>
    </row>
    <row r="5" spans="1:3">
      <c r="A5" s="11" t="s">
        <v>10</v>
      </c>
      <c r="B5" s="13">
        <v>110.83</v>
      </c>
      <c r="C5" s="13">
        <v>101.77749999999999</v>
      </c>
    </row>
    <row r="6" spans="1:3">
      <c r="A6" s="11" t="s">
        <v>14</v>
      </c>
      <c r="B6" s="13">
        <v>111.87</v>
      </c>
      <c r="C6" s="13">
        <v>93.665217391304353</v>
      </c>
    </row>
    <row r="7" spans="1:3">
      <c r="A7" s="11" t="s">
        <v>18</v>
      </c>
      <c r="B7" s="13">
        <v>101.83</v>
      </c>
      <c r="C7" s="13">
        <v>76.437142857142888</v>
      </c>
    </row>
    <row r="8" spans="1:3">
      <c r="A8" s="11" t="s">
        <v>7</v>
      </c>
      <c r="B8" s="13">
        <v>87.49</v>
      </c>
      <c r="C8" s="13">
        <v>83.221999999999994</v>
      </c>
    </row>
    <row r="9" spans="1:3">
      <c r="A9" s="11" t="s">
        <v>8</v>
      </c>
      <c r="B9" s="13">
        <v>91.54</v>
      </c>
      <c r="C9" s="13">
        <v>91.641052631578944</v>
      </c>
    </row>
    <row r="10" spans="1:3">
      <c r="A10" s="11" t="s">
        <v>13</v>
      </c>
      <c r="B10" s="13">
        <v>121.53</v>
      </c>
      <c r="C10" s="13">
        <v>101.61899999999999</v>
      </c>
    </row>
    <row r="11" spans="1:3">
      <c r="A11" s="11" t="s">
        <v>12</v>
      </c>
      <c r="B11" s="13">
        <v>121.08</v>
      </c>
      <c r="C11" s="13">
        <v>114.83714285714285</v>
      </c>
    </row>
    <row r="12" spans="1:3">
      <c r="A12" s="11" t="s">
        <v>9</v>
      </c>
      <c r="B12" s="13">
        <v>98.98</v>
      </c>
      <c r="C12" s="13">
        <v>108.50260869565219</v>
      </c>
    </row>
    <row r="13" spans="1:3">
      <c r="A13" s="11" t="s">
        <v>11</v>
      </c>
      <c r="B13" s="13">
        <v>120.3</v>
      </c>
      <c r="C13" s="13">
        <v>109.55238095238097</v>
      </c>
    </row>
    <row r="14" spans="1:3">
      <c r="A14" s="11" t="s">
        <v>17</v>
      </c>
      <c r="B14" s="13">
        <v>115.38</v>
      </c>
      <c r="C14" s="13">
        <v>84.370476190476182</v>
      </c>
    </row>
    <row r="15" spans="1:3">
      <c r="A15" s="11" t="s">
        <v>16</v>
      </c>
      <c r="B15" s="13">
        <v>111.4</v>
      </c>
      <c r="C15" s="13">
        <v>87.554761904761904</v>
      </c>
    </row>
    <row r="16" spans="1:3">
      <c r="A16" s="11" t="s">
        <v>15</v>
      </c>
      <c r="B16" s="13">
        <v>112.22</v>
      </c>
      <c r="C16" s="13">
        <v>84.258095238095251</v>
      </c>
    </row>
    <row r="17" spans="1:3">
      <c r="A17" s="10">
        <v>2023</v>
      </c>
      <c r="B17" s="13">
        <v>92.365833333333342</v>
      </c>
      <c r="C17" s="13">
        <v>77.63426343980835</v>
      </c>
    </row>
    <row r="18" spans="1:3">
      <c r="A18" s="11" t="s">
        <v>10</v>
      </c>
      <c r="B18" s="13">
        <v>89.04</v>
      </c>
      <c r="C18" s="13">
        <v>79.446315789473672</v>
      </c>
    </row>
    <row r="19" spans="1:3">
      <c r="A19" s="11" t="s">
        <v>14</v>
      </c>
      <c r="B19" s="13">
        <v>91.67</v>
      </c>
      <c r="C19" s="13">
        <v>81.386086956521751</v>
      </c>
    </row>
    <row r="20" spans="1:3">
      <c r="A20" s="11" t="s">
        <v>18</v>
      </c>
      <c r="B20" s="13">
        <v>88.05</v>
      </c>
      <c r="C20" s="13">
        <v>71.900000000000006</v>
      </c>
    </row>
    <row r="21" spans="1:3">
      <c r="A21" s="11" t="s">
        <v>7</v>
      </c>
      <c r="B21" s="13">
        <v>99.1</v>
      </c>
      <c r="C21" s="13">
        <v>78.123000000000019</v>
      </c>
    </row>
    <row r="22" spans="1:3">
      <c r="A22" s="11" t="s">
        <v>8</v>
      </c>
      <c r="B22" s="13">
        <v>100.7</v>
      </c>
      <c r="C22" s="13">
        <v>76.832631578947371</v>
      </c>
    </row>
    <row r="23" spans="1:3">
      <c r="A23" s="11" t="s">
        <v>13</v>
      </c>
      <c r="B23" s="13">
        <v>83.12</v>
      </c>
      <c r="C23" s="13">
        <v>76.069499999999977</v>
      </c>
    </row>
    <row r="24" spans="1:3">
      <c r="A24" s="11" t="s">
        <v>12</v>
      </c>
      <c r="B24" s="13">
        <v>81.02</v>
      </c>
      <c r="C24" s="13">
        <v>70.248095238095246</v>
      </c>
    </row>
    <row r="25" spans="1:3">
      <c r="A25" s="11" t="s">
        <v>9</v>
      </c>
      <c r="B25" s="13">
        <v>92.57</v>
      </c>
      <c r="C25" s="13">
        <v>73.277826086956523</v>
      </c>
    </row>
    <row r="26" spans="1:3">
      <c r="A26" s="11" t="s">
        <v>11</v>
      </c>
      <c r="B26" s="13">
        <v>83.19</v>
      </c>
      <c r="C26" s="13">
        <v>71.578181818181804</v>
      </c>
    </row>
    <row r="27" spans="1:3">
      <c r="A27" s="11" t="s">
        <v>17</v>
      </c>
      <c r="B27" s="13">
        <v>96.53</v>
      </c>
      <c r="C27" s="13">
        <v>77.684999999999988</v>
      </c>
    </row>
    <row r="28" spans="1:3">
      <c r="A28" s="11" t="s">
        <v>16</v>
      </c>
      <c r="B28" s="13">
        <v>102.97</v>
      </c>
      <c r="C28" s="13">
        <v>85.639523809523794</v>
      </c>
    </row>
    <row r="29" spans="1:3">
      <c r="A29" s="11" t="s">
        <v>15</v>
      </c>
      <c r="B29" s="13">
        <v>100.43</v>
      </c>
      <c r="C29" s="13">
        <v>89.425000000000026</v>
      </c>
    </row>
    <row r="30" spans="1:3">
      <c r="A30" s="10">
        <v>2024</v>
      </c>
      <c r="B30" s="13">
        <v>84.88666666666667</v>
      </c>
      <c r="C30" s="13">
        <v>76.54927492974862</v>
      </c>
    </row>
    <row r="31" spans="1:3">
      <c r="A31" s="11" t="s">
        <v>10</v>
      </c>
      <c r="B31" s="13">
        <v>90.23</v>
      </c>
      <c r="C31" s="13">
        <v>85.347272727272724</v>
      </c>
    </row>
    <row r="32" spans="1:3">
      <c r="A32" s="11" t="s">
        <v>14</v>
      </c>
      <c r="B32" s="13">
        <v>83.84</v>
      </c>
      <c r="C32" s="13">
        <v>76.683181818181822</v>
      </c>
    </row>
    <row r="33" spans="1:3">
      <c r="A33" s="11" t="s">
        <v>18</v>
      </c>
      <c r="B33" s="13">
        <v>80.319999999999993</v>
      </c>
      <c r="C33" s="13">
        <v>70.118095238095222</v>
      </c>
    </row>
    <row r="34" spans="1:3">
      <c r="A34" s="11" t="s">
        <v>7</v>
      </c>
      <c r="B34" s="13">
        <v>85.87</v>
      </c>
      <c r="C34" s="13">
        <v>74.152380952380966</v>
      </c>
    </row>
    <row r="35" spans="1:3">
      <c r="A35" s="11" t="s">
        <v>8</v>
      </c>
      <c r="B35" s="13">
        <v>90.66</v>
      </c>
      <c r="C35" s="13">
        <v>77.248999999999995</v>
      </c>
    </row>
    <row r="36" spans="1:3">
      <c r="A36" s="11" t="s">
        <v>13</v>
      </c>
      <c r="B36" s="13">
        <v>86.37</v>
      </c>
      <c r="C36" s="13">
        <v>81.800454545454542</v>
      </c>
    </row>
    <row r="37" spans="1:3">
      <c r="A37" s="11" t="s">
        <v>12</v>
      </c>
      <c r="B37" s="13">
        <v>84.35</v>
      </c>
      <c r="C37" s="13">
        <v>79.767368421052609</v>
      </c>
    </row>
    <row r="38" spans="1:3">
      <c r="A38" s="11" t="s">
        <v>9</v>
      </c>
      <c r="B38" s="13">
        <v>91.29</v>
      </c>
      <c r="C38" s="13">
        <v>81.278000000000006</v>
      </c>
    </row>
    <row r="39" spans="1:3">
      <c r="A39" s="11" t="s">
        <v>11</v>
      </c>
      <c r="B39" s="13">
        <v>86.97</v>
      </c>
      <c r="C39" s="13">
        <v>80.024545454545489</v>
      </c>
    </row>
    <row r="40" spans="1:3">
      <c r="A40" s="11" t="s">
        <v>17</v>
      </c>
      <c r="B40" s="13">
        <v>79.760000000000005</v>
      </c>
      <c r="C40" s="13">
        <v>69.95</v>
      </c>
    </row>
    <row r="41" spans="1:3">
      <c r="A41" s="11" t="s">
        <v>16</v>
      </c>
      <c r="B41" s="13">
        <v>78.72</v>
      </c>
      <c r="C41" s="13">
        <v>71.984999999999999</v>
      </c>
    </row>
    <row r="42" spans="1:3">
      <c r="A42" s="11" t="s">
        <v>15</v>
      </c>
      <c r="B42" s="13">
        <v>80.260000000000005</v>
      </c>
      <c r="C42" s="13">
        <v>70.236000000000004</v>
      </c>
    </row>
    <row r="43" spans="1:3">
      <c r="A43" s="10">
        <v>2025</v>
      </c>
      <c r="B43" s="13">
        <v>83.948333333333338</v>
      </c>
      <c r="C43" s="13">
        <v>65.460939504696071</v>
      </c>
    </row>
    <row r="44" spans="1:3">
      <c r="A44" s="11" t="s">
        <v>10</v>
      </c>
      <c r="B44" s="13">
        <v>81.12</v>
      </c>
      <c r="C44" s="13">
        <v>63.536666666666655</v>
      </c>
    </row>
    <row r="45" spans="1:3">
      <c r="A45" s="11" t="s">
        <v>14</v>
      </c>
      <c r="B45" s="13">
        <v>87.18</v>
      </c>
      <c r="C45" s="13">
        <v>64.864285714285714</v>
      </c>
    </row>
    <row r="46" spans="1:3">
      <c r="A46" s="11" t="s">
        <v>18</v>
      </c>
      <c r="B46" s="13">
        <v>86.36</v>
      </c>
      <c r="C46" s="13">
        <v>57.972272727272731</v>
      </c>
    </row>
    <row r="47" spans="1:3">
      <c r="A47" s="11" t="s">
        <v>7</v>
      </c>
      <c r="B47" s="13">
        <v>82.32</v>
      </c>
      <c r="C47" s="13">
        <v>75.742500000000007</v>
      </c>
    </row>
    <row r="48" spans="1:3">
      <c r="A48" s="11" t="s">
        <v>8</v>
      </c>
      <c r="B48" s="13">
        <v>86.03</v>
      </c>
      <c r="C48" s="13">
        <v>71.533157894736831</v>
      </c>
    </row>
    <row r="49" spans="1:3">
      <c r="A49" s="11" t="s">
        <v>13</v>
      </c>
      <c r="B49" s="13">
        <v>85.11</v>
      </c>
      <c r="C49" s="13">
        <v>68.390909090909091</v>
      </c>
    </row>
    <row r="50" spans="1:3">
      <c r="A50" s="11" t="s">
        <v>12</v>
      </c>
      <c r="B50" s="13">
        <v>79.319999999999993</v>
      </c>
      <c r="C50" s="13">
        <v>68.169000000000011</v>
      </c>
    </row>
    <row r="51" spans="1:3">
      <c r="A51" s="11" t="s">
        <v>9</v>
      </c>
      <c r="B51" s="13">
        <v>84.34</v>
      </c>
      <c r="C51" s="13">
        <v>68.239047619047625</v>
      </c>
    </row>
    <row r="52" spans="1:3">
      <c r="A52" s="11" t="s">
        <v>11</v>
      </c>
      <c r="B52" s="13">
        <v>78.55</v>
      </c>
      <c r="C52" s="13">
        <v>62.167619047619048</v>
      </c>
    </row>
    <row r="53" spans="1:3">
      <c r="A53" s="11" t="s">
        <v>17</v>
      </c>
      <c r="B53" s="13">
        <v>86.11</v>
      </c>
      <c r="C53" s="13">
        <v>60.062222222222218</v>
      </c>
    </row>
    <row r="54" spans="1:3">
      <c r="A54" s="11" t="s">
        <v>16</v>
      </c>
      <c r="B54" s="13">
        <v>85.92</v>
      </c>
      <c r="C54" s="13">
        <v>60.894545454545458</v>
      </c>
    </row>
    <row r="55" spans="1:3">
      <c r="A55" s="11" t="s">
        <v>15</v>
      </c>
      <c r="B55" s="13">
        <v>85.02</v>
      </c>
      <c r="C55" s="13">
        <v>63.959047619047624</v>
      </c>
    </row>
    <row r="56" spans="1:3">
      <c r="A56" s="10">
        <v>2026</v>
      </c>
      <c r="B56" s="13">
        <v>87.126666666666665</v>
      </c>
      <c r="C56" s="13">
        <v>71.114307017543865</v>
      </c>
    </row>
    <row r="57" spans="1:3">
      <c r="A57" s="11" t="s">
        <v>7</v>
      </c>
      <c r="B57" s="13">
        <v>81.27</v>
      </c>
      <c r="C57" s="13">
        <v>60.036999999999992</v>
      </c>
    </row>
    <row r="58" spans="1:3">
      <c r="A58" s="11" t="s">
        <v>8</v>
      </c>
      <c r="B58" s="13">
        <v>84.78</v>
      </c>
      <c r="C58" s="13">
        <v>64.508421052631576</v>
      </c>
    </row>
    <row r="59" spans="1:3">
      <c r="A59" s="11" t="s">
        <v>9</v>
      </c>
      <c r="B59" s="13">
        <v>95.33</v>
      </c>
      <c r="C59" s="13">
        <v>88.797500000000014</v>
      </c>
    </row>
    <row r="60" spans="1:3">
      <c r="A60" s="10" t="s">
        <v>30</v>
      </c>
      <c r="B60" s="13">
        <v>92.16156862745099</v>
      </c>
      <c r="C60" s="13">
        <v>78.166941848278498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7C255-CCE1-4D8E-B61E-03245037D435}">
  <dimension ref="C2:U59"/>
  <sheetViews>
    <sheetView tabSelected="1" zoomScale="85" zoomScaleNormal="85" workbookViewId="0">
      <selection activeCell="H38" sqref="H38"/>
    </sheetView>
  </sheetViews>
  <sheetFormatPr defaultRowHeight="15"/>
  <cols>
    <col min="10" max="10" width="8.28515625" bestFit="1" customWidth="1"/>
    <col min="11" max="11" width="10.85546875" bestFit="1" customWidth="1"/>
    <col min="12" max="12" width="15.5703125" bestFit="1" customWidth="1"/>
    <col min="14" max="14" width="22.140625" bestFit="1" customWidth="1"/>
    <col min="15" max="15" width="5" bestFit="1" customWidth="1"/>
    <col min="16" max="16" width="9" customWidth="1"/>
    <col min="17" max="17" width="10.85546875" bestFit="1" customWidth="1"/>
    <col min="18" max="18" width="10.42578125" bestFit="1" customWidth="1"/>
  </cols>
  <sheetData>
    <row r="2" spans="3:21">
      <c r="J2" t="s">
        <v>0</v>
      </c>
      <c r="K2" t="s">
        <v>1</v>
      </c>
      <c r="L2" t="s">
        <v>2</v>
      </c>
      <c r="N2" s="4" t="s">
        <v>53</v>
      </c>
      <c r="O2" t="s">
        <v>54</v>
      </c>
      <c r="P2" s="12" t="s">
        <v>52</v>
      </c>
      <c r="Q2" s="12" t="s">
        <v>57</v>
      </c>
      <c r="R2" s="12" t="s">
        <v>40</v>
      </c>
      <c r="U2" s="18" t="s">
        <v>58</v>
      </c>
    </row>
    <row r="3" spans="3:21">
      <c r="I3" t="s">
        <v>4</v>
      </c>
      <c r="J3">
        <v>1</v>
      </c>
      <c r="K3" t="s">
        <v>3</v>
      </c>
      <c r="L3">
        <v>88.11</v>
      </c>
      <c r="N3" s="4" t="s">
        <v>7</v>
      </c>
      <c r="O3">
        <v>2022</v>
      </c>
      <c r="P3" s="13">
        <v>87.49</v>
      </c>
      <c r="Q3" s="13">
        <f>P3/U3</f>
        <v>3.5565329799429266</v>
      </c>
      <c r="R3" s="13">
        <v>88.15</v>
      </c>
      <c r="U3">
        <v>24.599799999999998</v>
      </c>
    </row>
    <row r="4" spans="3:21">
      <c r="J4">
        <v>2</v>
      </c>
      <c r="K4" t="s">
        <v>3</v>
      </c>
      <c r="L4">
        <v>91.3</v>
      </c>
      <c r="N4" s="14" t="s">
        <v>8</v>
      </c>
      <c r="O4" s="15">
        <v>2022</v>
      </c>
      <c r="P4" s="16">
        <v>91.54</v>
      </c>
      <c r="Q4" s="16">
        <f t="shared" ref="Q4:Q53" si="0">P4/U4</f>
        <v>3.7116779590231403</v>
      </c>
      <c r="R4" s="16">
        <v>95.72</v>
      </c>
      <c r="U4">
        <v>24.662700000000001</v>
      </c>
    </row>
    <row r="5" spans="3:21" ht="18">
      <c r="C5" s="1"/>
      <c r="J5">
        <v>3</v>
      </c>
      <c r="K5" t="s">
        <v>3</v>
      </c>
      <c r="L5">
        <v>96.84</v>
      </c>
      <c r="N5" s="4" t="s">
        <v>9</v>
      </c>
      <c r="O5">
        <v>2022</v>
      </c>
      <c r="P5" s="13">
        <v>98.98</v>
      </c>
      <c r="Q5" s="13">
        <f t="shared" si="0"/>
        <v>4.0324617653529327</v>
      </c>
      <c r="R5" s="13">
        <v>100.28</v>
      </c>
      <c r="U5">
        <v>24.5458</v>
      </c>
    </row>
    <row r="6" spans="3:21">
      <c r="J6">
        <v>4</v>
      </c>
      <c r="K6" t="s">
        <v>3</v>
      </c>
      <c r="L6">
        <v>105.07</v>
      </c>
      <c r="N6" s="4" t="s">
        <v>10</v>
      </c>
      <c r="O6">
        <v>2022</v>
      </c>
      <c r="P6" s="13">
        <v>110.83</v>
      </c>
      <c r="Q6" s="13">
        <f t="shared" si="0"/>
        <v>4.5222521901280004</v>
      </c>
      <c r="R6" s="13">
        <v>104.69</v>
      </c>
      <c r="U6">
        <v>24.5077</v>
      </c>
    </row>
    <row r="7" spans="3:21">
      <c r="N7" s="4" t="s">
        <v>11</v>
      </c>
      <c r="O7">
        <v>2022</v>
      </c>
      <c r="P7" s="13">
        <v>120.3</v>
      </c>
      <c r="Q7" s="13">
        <f t="shared" si="0"/>
        <v>4.9008225071190248</v>
      </c>
      <c r="R7" s="13">
        <v>114.67</v>
      </c>
      <c r="U7">
        <v>24.546900000000001</v>
      </c>
    </row>
    <row r="8" spans="3:21">
      <c r="N8" s="4" t="s">
        <v>12</v>
      </c>
      <c r="O8">
        <v>2022</v>
      </c>
      <c r="P8" s="13">
        <v>121.08</v>
      </c>
      <c r="Q8" s="13">
        <f t="shared" si="0"/>
        <v>4.9292448989561786</v>
      </c>
      <c r="R8" s="13">
        <v>105.76</v>
      </c>
      <c r="U8">
        <v>24.563600000000001</v>
      </c>
    </row>
    <row r="9" spans="3:21">
      <c r="J9" t="s">
        <v>0</v>
      </c>
      <c r="K9" t="s">
        <v>1</v>
      </c>
      <c r="L9" t="s">
        <v>2</v>
      </c>
      <c r="N9" s="4" t="s">
        <v>13</v>
      </c>
      <c r="O9">
        <v>2022</v>
      </c>
      <c r="P9" s="13">
        <v>121.53</v>
      </c>
      <c r="Q9" s="13">
        <f t="shared" si="0"/>
        <v>4.9397619744415184</v>
      </c>
      <c r="R9" s="13">
        <v>98.62</v>
      </c>
      <c r="U9">
        <v>24.602399999999999</v>
      </c>
    </row>
    <row r="10" spans="3:21">
      <c r="I10" t="s">
        <v>5</v>
      </c>
      <c r="J10">
        <v>1</v>
      </c>
      <c r="K10" t="s">
        <v>3</v>
      </c>
      <c r="L10">
        <v>82.62</v>
      </c>
      <c r="N10" s="4" t="s">
        <v>14</v>
      </c>
      <c r="O10">
        <v>2022</v>
      </c>
      <c r="P10" s="13">
        <v>111.87</v>
      </c>
      <c r="Q10" s="13">
        <f t="shared" si="0"/>
        <v>4.5513537704184381</v>
      </c>
      <c r="R10" s="13">
        <v>89.55</v>
      </c>
      <c r="U10">
        <v>24.579499999999999</v>
      </c>
    </row>
    <row r="11" spans="3:21">
      <c r="J11">
        <v>2</v>
      </c>
      <c r="K11" t="s">
        <v>3</v>
      </c>
      <c r="L11">
        <v>84.05</v>
      </c>
      <c r="N11" s="4" t="s">
        <v>15</v>
      </c>
      <c r="O11">
        <v>2022</v>
      </c>
      <c r="P11" s="13">
        <v>112.22</v>
      </c>
      <c r="Q11" s="13">
        <f t="shared" si="0"/>
        <v>4.5411871347869015</v>
      </c>
      <c r="R11" s="13">
        <v>79.489999999999995</v>
      </c>
      <c r="U11">
        <v>24.711600000000001</v>
      </c>
    </row>
    <row r="12" spans="3:21">
      <c r="J12">
        <v>3</v>
      </c>
      <c r="K12" t="s">
        <v>3</v>
      </c>
      <c r="L12">
        <v>85.61</v>
      </c>
      <c r="N12" s="4" t="s">
        <v>16</v>
      </c>
      <c r="O12">
        <v>2022</v>
      </c>
      <c r="P12" s="13">
        <v>111.4</v>
      </c>
      <c r="Q12" s="13">
        <f t="shared" si="0"/>
        <v>4.492714462588272</v>
      </c>
      <c r="R12" s="13">
        <v>86.53</v>
      </c>
      <c r="U12">
        <v>24.7957</v>
      </c>
    </row>
    <row r="13" spans="3:21">
      <c r="J13">
        <v>4</v>
      </c>
      <c r="K13" t="s">
        <v>3</v>
      </c>
      <c r="L13">
        <v>86.85</v>
      </c>
      <c r="N13" s="4" t="s">
        <v>17</v>
      </c>
      <c r="O13">
        <v>2022</v>
      </c>
      <c r="P13" s="13">
        <v>115.38</v>
      </c>
      <c r="Q13" s="13">
        <f t="shared" si="0"/>
        <v>4.6539206195546949</v>
      </c>
      <c r="R13" s="13">
        <v>80.56</v>
      </c>
      <c r="U13">
        <v>24.792000000000002</v>
      </c>
    </row>
    <row r="14" spans="3:21">
      <c r="N14" s="4" t="s">
        <v>18</v>
      </c>
      <c r="O14">
        <v>2022</v>
      </c>
      <c r="P14" s="13">
        <v>101.83</v>
      </c>
      <c r="Q14" s="13">
        <f t="shared" si="0"/>
        <v>4.1170548684588235</v>
      </c>
      <c r="R14" s="13">
        <v>80.47</v>
      </c>
      <c r="U14">
        <v>24.733699999999999</v>
      </c>
    </row>
    <row r="15" spans="3:21">
      <c r="J15" t="s">
        <v>0</v>
      </c>
      <c r="K15" t="s">
        <v>1</v>
      </c>
      <c r="L15" t="s">
        <v>2</v>
      </c>
      <c r="N15" s="4" t="s">
        <v>7</v>
      </c>
      <c r="O15">
        <v>2023</v>
      </c>
      <c r="P15" s="13">
        <v>99.1</v>
      </c>
      <c r="Q15" s="13">
        <f t="shared" si="0"/>
        <v>4.0107655260335511</v>
      </c>
      <c r="R15" s="13">
        <v>80.11</v>
      </c>
      <c r="U15">
        <v>24.708500000000001</v>
      </c>
    </row>
    <row r="16" spans="3:21">
      <c r="I16" t="s">
        <v>6</v>
      </c>
      <c r="J16">
        <v>1</v>
      </c>
      <c r="K16" t="s">
        <v>3</v>
      </c>
      <c r="L16">
        <v>81.69</v>
      </c>
      <c r="N16" s="4" t="s">
        <v>8</v>
      </c>
      <c r="O16">
        <v>2023</v>
      </c>
      <c r="P16" s="13">
        <v>100.7</v>
      </c>
      <c r="Q16" s="13">
        <f t="shared" si="0"/>
        <v>4.0805575816516733</v>
      </c>
      <c r="R16" s="13">
        <v>77.05</v>
      </c>
      <c r="U16">
        <v>24.678000000000001</v>
      </c>
    </row>
    <row r="17" spans="10:21">
      <c r="J17">
        <v>2</v>
      </c>
      <c r="K17" t="s">
        <v>3</v>
      </c>
      <c r="L17">
        <v>80.81</v>
      </c>
      <c r="N17" s="4" t="s">
        <v>9</v>
      </c>
      <c r="O17">
        <v>2023</v>
      </c>
      <c r="P17" s="13">
        <v>92.57</v>
      </c>
      <c r="Q17" s="13">
        <f t="shared" si="0"/>
        <v>3.7479401916684547</v>
      </c>
      <c r="R17" s="13">
        <v>75.67</v>
      </c>
      <c r="U17">
        <v>24.698899999999998</v>
      </c>
    </row>
    <row r="18" spans="10:21">
      <c r="J18">
        <v>3</v>
      </c>
      <c r="K18" t="s">
        <v>3</v>
      </c>
      <c r="L18">
        <v>80.81</v>
      </c>
      <c r="N18" s="4" t="s">
        <v>10</v>
      </c>
      <c r="O18">
        <v>2023</v>
      </c>
      <c r="P18" s="13">
        <v>89.04</v>
      </c>
      <c r="Q18" s="13">
        <f t="shared" si="0"/>
        <v>3.6064644173518574</v>
      </c>
      <c r="R18" s="13">
        <v>76.78</v>
      </c>
      <c r="U18">
        <v>24.689</v>
      </c>
    </row>
    <row r="19" spans="10:21">
      <c r="J19">
        <v>4</v>
      </c>
      <c r="K19" t="s">
        <v>3</v>
      </c>
      <c r="L19">
        <v>81.760000000000005</v>
      </c>
      <c r="N19" s="4" t="s">
        <v>11</v>
      </c>
      <c r="O19">
        <v>2023</v>
      </c>
      <c r="P19" s="13">
        <v>83.19</v>
      </c>
      <c r="Q19" s="13">
        <f t="shared" si="0"/>
        <v>3.3705406883698315</v>
      </c>
      <c r="R19" s="13">
        <v>68.09</v>
      </c>
      <c r="U19">
        <v>24.6815</v>
      </c>
    </row>
    <row r="20" spans="10:21">
      <c r="N20" s="4" t="s">
        <v>12</v>
      </c>
      <c r="O20">
        <v>2023</v>
      </c>
      <c r="P20" s="13">
        <v>81.02</v>
      </c>
      <c r="Q20" s="13">
        <f t="shared" si="0"/>
        <v>3.2779722048024595</v>
      </c>
      <c r="R20" s="13">
        <v>70.64</v>
      </c>
      <c r="U20">
        <v>24.7165</v>
      </c>
    </row>
    <row r="21" spans="10:21">
      <c r="N21" s="4" t="s">
        <v>13</v>
      </c>
      <c r="O21">
        <v>2023</v>
      </c>
      <c r="P21" s="13">
        <v>83.12</v>
      </c>
      <c r="Q21" s="13">
        <f t="shared" si="0"/>
        <v>3.363262267288714</v>
      </c>
      <c r="R21" s="13">
        <v>81.8</v>
      </c>
      <c r="U21">
        <v>24.714099999999998</v>
      </c>
    </row>
    <row r="22" spans="10:21">
      <c r="N22" s="4" t="s">
        <v>14</v>
      </c>
      <c r="O22">
        <v>2023</v>
      </c>
      <c r="P22" s="13">
        <v>91.67</v>
      </c>
      <c r="Q22" s="13">
        <f t="shared" si="0"/>
        <v>3.7096238982817646</v>
      </c>
      <c r="R22" s="13">
        <v>83.63</v>
      </c>
      <c r="U22">
        <v>24.711400000000001</v>
      </c>
    </row>
    <row r="23" spans="10:21">
      <c r="N23" s="4" t="s">
        <v>15</v>
      </c>
      <c r="O23">
        <v>2023</v>
      </c>
      <c r="P23" s="13">
        <v>100.43</v>
      </c>
      <c r="Q23" s="13">
        <f t="shared" si="0"/>
        <v>4.0582860883585425</v>
      </c>
      <c r="R23" s="13">
        <v>90.79</v>
      </c>
      <c r="U23">
        <v>24.7469</v>
      </c>
    </row>
    <row r="24" spans="10:21">
      <c r="J24" t="s">
        <v>19</v>
      </c>
      <c r="K24" t="s">
        <v>20</v>
      </c>
      <c r="L24" t="s">
        <v>21</v>
      </c>
      <c r="N24" s="4" t="s">
        <v>16</v>
      </c>
      <c r="O24">
        <v>2023</v>
      </c>
      <c r="P24" s="13">
        <v>102.97</v>
      </c>
      <c r="Q24" s="13">
        <f t="shared" si="0"/>
        <v>4.1547468699185348</v>
      </c>
      <c r="R24" s="13">
        <v>81.02</v>
      </c>
      <c r="U24">
        <v>24.7837</v>
      </c>
    </row>
    <row r="25" spans="10:21">
      <c r="J25" t="s">
        <v>22</v>
      </c>
      <c r="N25" s="4" t="s">
        <v>17</v>
      </c>
      <c r="O25">
        <v>2023</v>
      </c>
      <c r="P25" s="13">
        <v>96.53</v>
      </c>
      <c r="Q25" s="13">
        <f t="shared" si="0"/>
        <v>3.8926840284218764</v>
      </c>
      <c r="R25" s="13">
        <v>75.959999999999994</v>
      </c>
      <c r="U25">
        <v>24.797799999999999</v>
      </c>
    </row>
    <row r="26" spans="10:21">
      <c r="J26" t="s">
        <v>23</v>
      </c>
      <c r="N26" s="4" t="s">
        <v>18</v>
      </c>
      <c r="O26">
        <v>2023</v>
      </c>
      <c r="P26" s="13">
        <v>88.05</v>
      </c>
      <c r="Q26" s="13">
        <f t="shared" si="0"/>
        <v>3.5547893772154349</v>
      </c>
      <c r="R26" s="13">
        <v>71.650000000000006</v>
      </c>
      <c r="U26">
        <v>24.769400000000001</v>
      </c>
    </row>
    <row r="27" spans="10:21">
      <c r="J27" t="s">
        <v>24</v>
      </c>
      <c r="N27" s="4" t="s">
        <v>7</v>
      </c>
      <c r="O27">
        <v>2024</v>
      </c>
      <c r="P27" s="13">
        <v>85.87</v>
      </c>
      <c r="Q27" s="13">
        <f t="shared" si="0"/>
        <v>3.4672954933638058</v>
      </c>
      <c r="R27" s="13">
        <v>75.849999999999994</v>
      </c>
      <c r="U27">
        <v>24.765699999999999</v>
      </c>
    </row>
    <row r="28" spans="10:21">
      <c r="J28" t="s">
        <v>25</v>
      </c>
      <c r="N28" s="4" t="s">
        <v>8</v>
      </c>
      <c r="O28">
        <v>2024</v>
      </c>
      <c r="P28" s="13">
        <v>90.66</v>
      </c>
      <c r="Q28" s="13">
        <f t="shared" si="0"/>
        <v>3.657636213261251</v>
      </c>
      <c r="R28" s="13">
        <v>78.260000000000005</v>
      </c>
      <c r="U28">
        <v>24.7865</v>
      </c>
    </row>
    <row r="29" spans="10:21">
      <c r="N29" s="4" t="s">
        <v>9</v>
      </c>
      <c r="O29">
        <v>2024</v>
      </c>
      <c r="P29" s="13">
        <v>91.29</v>
      </c>
      <c r="Q29" s="13">
        <f t="shared" si="0"/>
        <v>3.6816718960469115</v>
      </c>
      <c r="R29" s="13">
        <v>83.17</v>
      </c>
      <c r="U29">
        <v>24.7958</v>
      </c>
    </row>
    <row r="30" spans="10:21">
      <c r="N30" s="4" t="s">
        <v>10</v>
      </c>
      <c r="O30">
        <v>2024</v>
      </c>
      <c r="P30" s="13">
        <v>90.23</v>
      </c>
      <c r="Q30" s="13">
        <f t="shared" si="0"/>
        <v>3.6396419653985941</v>
      </c>
      <c r="R30" s="13">
        <v>81.93</v>
      </c>
      <c r="U30">
        <v>24.790900000000001</v>
      </c>
    </row>
    <row r="31" spans="10:21">
      <c r="N31" s="4" t="s">
        <v>11</v>
      </c>
      <c r="O31">
        <v>2024</v>
      </c>
      <c r="P31" s="13">
        <v>86.97</v>
      </c>
      <c r="Q31" s="13">
        <f t="shared" si="0"/>
        <v>3.5046079328172666</v>
      </c>
      <c r="R31" s="13">
        <v>76.989999999999995</v>
      </c>
      <c r="U31">
        <v>24.815899999999999</v>
      </c>
    </row>
    <row r="32" spans="10:21">
      <c r="N32" s="4" t="s">
        <v>12</v>
      </c>
      <c r="O32">
        <v>2024</v>
      </c>
      <c r="P32" s="13">
        <v>84.35</v>
      </c>
      <c r="Q32" s="13">
        <f t="shared" si="0"/>
        <v>3.3970318761200939</v>
      </c>
      <c r="R32" s="13">
        <v>81.540000000000006</v>
      </c>
      <c r="U32">
        <v>24.830500000000001</v>
      </c>
    </row>
    <row r="33" spans="14:21">
      <c r="N33" s="4" t="s">
        <v>13</v>
      </c>
      <c r="O33">
        <v>2024</v>
      </c>
      <c r="P33" s="13">
        <v>86.37</v>
      </c>
      <c r="Q33" s="13">
        <f t="shared" si="0"/>
        <v>3.473138169535146</v>
      </c>
      <c r="R33" s="13">
        <v>77.91</v>
      </c>
      <c r="U33">
        <v>24.867999999999999</v>
      </c>
    </row>
    <row r="34" spans="14:21">
      <c r="N34" s="4" t="s">
        <v>14</v>
      </c>
      <c r="O34">
        <v>2024</v>
      </c>
      <c r="P34" s="13">
        <v>83.84</v>
      </c>
      <c r="Q34" s="13">
        <f t="shared" si="0"/>
        <v>3.370411613126274</v>
      </c>
      <c r="R34" s="13">
        <v>73.55</v>
      </c>
      <c r="U34">
        <v>24.875299999999999</v>
      </c>
    </row>
    <row r="35" spans="14:21">
      <c r="N35" s="4" t="s">
        <v>15</v>
      </c>
      <c r="O35">
        <v>2024</v>
      </c>
      <c r="P35" s="13">
        <v>80.260000000000005</v>
      </c>
      <c r="Q35" s="13">
        <f t="shared" si="0"/>
        <v>3.221805190373924</v>
      </c>
      <c r="R35" s="13">
        <v>68.17</v>
      </c>
      <c r="U35">
        <v>24.9115</v>
      </c>
    </row>
    <row r="36" spans="14:21">
      <c r="N36" s="4" t="s">
        <v>16</v>
      </c>
      <c r="O36">
        <v>2024</v>
      </c>
      <c r="P36" s="13">
        <v>78.72</v>
      </c>
      <c r="Q36" s="13">
        <f t="shared" si="0"/>
        <v>3.1458429076667933</v>
      </c>
      <c r="R36" s="13">
        <v>69.260000000000005</v>
      </c>
      <c r="U36">
        <v>25.023499999999999</v>
      </c>
    </row>
    <row r="37" spans="14:21">
      <c r="N37" s="4" t="s">
        <v>17</v>
      </c>
      <c r="O37">
        <v>2024</v>
      </c>
      <c r="P37" s="13">
        <v>79.760000000000005</v>
      </c>
      <c r="Q37" s="13">
        <f t="shared" si="0"/>
        <v>3.1652426514066208</v>
      </c>
      <c r="R37" s="13">
        <v>68</v>
      </c>
      <c r="U37">
        <v>25.198699999999999</v>
      </c>
    </row>
    <row r="38" spans="14:21">
      <c r="N38" s="4" t="s">
        <v>18</v>
      </c>
      <c r="O38">
        <v>2024</v>
      </c>
      <c r="P38" s="13">
        <v>80.319999999999993</v>
      </c>
      <c r="Q38" s="13">
        <f t="shared" si="0"/>
        <v>3.1597789098920117</v>
      </c>
      <c r="R38" s="13">
        <v>71.72</v>
      </c>
      <c r="U38">
        <v>25.419499999999999</v>
      </c>
    </row>
    <row r="39" spans="14:21">
      <c r="N39" s="4" t="s">
        <v>7</v>
      </c>
      <c r="O39">
        <v>2025</v>
      </c>
      <c r="P39" s="13">
        <v>82.32</v>
      </c>
      <c r="Q39" s="13">
        <f t="shared" si="0"/>
        <v>3.2186550619919529</v>
      </c>
      <c r="R39" s="13">
        <v>72.53</v>
      </c>
      <c r="U39">
        <v>25.575900000000001</v>
      </c>
    </row>
    <row r="40" spans="14:21">
      <c r="N40" s="4" t="s">
        <v>8</v>
      </c>
      <c r="O40">
        <v>2025</v>
      </c>
      <c r="P40" s="13">
        <v>86.03</v>
      </c>
      <c r="Q40" s="13">
        <f t="shared" si="0"/>
        <v>3.349634394200145</v>
      </c>
      <c r="R40" s="13">
        <v>69.760000000000005</v>
      </c>
      <c r="U40">
        <v>25.683399999999999</v>
      </c>
    </row>
    <row r="41" spans="14:21">
      <c r="N41" s="4" t="s">
        <v>9</v>
      </c>
      <c r="O41">
        <v>2025</v>
      </c>
      <c r="P41" s="13">
        <v>84.34</v>
      </c>
      <c r="Q41" s="13">
        <f t="shared" si="0"/>
        <v>3.276943280984093</v>
      </c>
      <c r="R41" s="13">
        <v>71.48</v>
      </c>
      <c r="U41">
        <v>25.737400000000001</v>
      </c>
    </row>
    <row r="42" spans="14:21">
      <c r="N42" s="4" t="s">
        <v>10</v>
      </c>
      <c r="O42">
        <v>2025</v>
      </c>
      <c r="P42" s="13">
        <v>81.12</v>
      </c>
      <c r="Q42" s="13">
        <f t="shared" si="0"/>
        <v>3.1409355434492214</v>
      </c>
      <c r="R42" s="13">
        <v>58.21</v>
      </c>
      <c r="U42">
        <v>25.826699999999999</v>
      </c>
    </row>
    <row r="43" spans="14:21">
      <c r="N43" s="4" t="s">
        <v>11</v>
      </c>
      <c r="O43">
        <v>2025</v>
      </c>
      <c r="P43" s="13">
        <v>78.55</v>
      </c>
      <c r="Q43" s="13">
        <f t="shared" si="0"/>
        <v>3.0186344474035134</v>
      </c>
      <c r="R43" s="13">
        <v>60.79</v>
      </c>
      <c r="U43">
        <v>26.021699999999999</v>
      </c>
    </row>
    <row r="44" spans="14:21">
      <c r="N44" s="4" t="s">
        <v>12</v>
      </c>
      <c r="O44">
        <v>2025</v>
      </c>
      <c r="P44" s="13">
        <v>79.319999999999993</v>
      </c>
      <c r="Q44" s="13">
        <f t="shared" si="0"/>
        <v>3.0281859516910425</v>
      </c>
      <c r="R44" s="13">
        <v>65.11</v>
      </c>
      <c r="U44">
        <v>26.193899999999999</v>
      </c>
    </row>
    <row r="45" spans="14:21">
      <c r="N45" s="4" t="s">
        <v>13</v>
      </c>
      <c r="O45">
        <v>2025</v>
      </c>
      <c r="P45" s="13">
        <v>85.11</v>
      </c>
      <c r="Q45" s="13">
        <f t="shared" si="0"/>
        <v>3.2336748999806231</v>
      </c>
      <c r="R45" s="13">
        <v>69.260000000000005</v>
      </c>
      <c r="U45">
        <v>26.319900000000001</v>
      </c>
    </row>
    <row r="46" spans="14:21">
      <c r="N46" s="4" t="s">
        <v>14</v>
      </c>
      <c r="O46">
        <v>2025</v>
      </c>
      <c r="P46" s="13">
        <v>87.18</v>
      </c>
      <c r="Q46" s="13">
        <f t="shared" si="0"/>
        <v>3.3284082969682398</v>
      </c>
      <c r="R46" s="13">
        <v>64.010000000000005</v>
      </c>
      <c r="U46">
        <v>26.192699999999999</v>
      </c>
    </row>
    <row r="47" spans="14:21">
      <c r="N47" s="4" t="s">
        <v>15</v>
      </c>
      <c r="O47">
        <v>2025</v>
      </c>
      <c r="P47" s="13">
        <v>85.02</v>
      </c>
      <c r="Q47" s="13">
        <f t="shared" si="0"/>
        <v>3.2439485974176612</v>
      </c>
      <c r="R47" s="13">
        <v>62.37</v>
      </c>
      <c r="U47">
        <v>26.2088</v>
      </c>
    </row>
    <row r="48" spans="14:21">
      <c r="N48" s="4" t="s">
        <v>16</v>
      </c>
      <c r="O48">
        <v>2025</v>
      </c>
      <c r="P48" s="13">
        <v>85.92</v>
      </c>
      <c r="Q48" s="13">
        <f t="shared" si="0"/>
        <v>3.2620333037199023</v>
      </c>
      <c r="R48" s="13">
        <v>60.98</v>
      </c>
      <c r="U48">
        <v>26.339400000000001</v>
      </c>
    </row>
    <row r="49" spans="13:21">
      <c r="N49" s="4" t="s">
        <v>17</v>
      </c>
      <c r="O49">
        <v>2025</v>
      </c>
      <c r="P49" s="13">
        <v>86.11</v>
      </c>
      <c r="Q49" s="13">
        <f t="shared" si="0"/>
        <v>3.2600383133059236</v>
      </c>
      <c r="R49" s="13">
        <v>58.55</v>
      </c>
      <c r="U49">
        <v>26.413799999999998</v>
      </c>
    </row>
    <row r="50" spans="13:21">
      <c r="N50" s="4" t="s">
        <v>18</v>
      </c>
      <c r="O50">
        <v>2025</v>
      </c>
      <c r="P50" s="13">
        <v>86.36</v>
      </c>
      <c r="Q50" s="13">
        <f t="shared" si="0"/>
        <v>3.2618589876754913</v>
      </c>
      <c r="R50" s="13">
        <v>57.42</v>
      </c>
      <c r="U50">
        <v>26.4757</v>
      </c>
    </row>
    <row r="51" spans="13:21">
      <c r="N51" s="4" t="s">
        <v>7</v>
      </c>
      <c r="O51">
        <v>2026</v>
      </c>
      <c r="P51" s="13">
        <v>81.27</v>
      </c>
      <c r="Q51" s="13">
        <f t="shared" si="0"/>
        <v>3.0614435910089166</v>
      </c>
      <c r="R51" s="13">
        <v>65.209999999999994</v>
      </c>
      <c r="U51">
        <v>26.546299999999999</v>
      </c>
    </row>
    <row r="52" spans="13:21">
      <c r="N52" s="14" t="s">
        <v>8</v>
      </c>
      <c r="O52" s="15">
        <v>2026</v>
      </c>
      <c r="P52" s="16">
        <v>86.85</v>
      </c>
      <c r="Q52" s="16">
        <f t="shared" si="0"/>
        <v>3.2638473939954227</v>
      </c>
      <c r="R52" s="16">
        <v>67.02</v>
      </c>
      <c r="U52">
        <v>26.6097</v>
      </c>
    </row>
    <row r="53" spans="13:21">
      <c r="N53" s="4" t="s">
        <v>9</v>
      </c>
      <c r="O53">
        <v>2026</v>
      </c>
      <c r="P53" s="13">
        <v>108.26</v>
      </c>
      <c r="Q53" s="13">
        <f t="shared" si="0"/>
        <v>4.0624108791258271</v>
      </c>
      <c r="R53" s="13">
        <v>99.64</v>
      </c>
      <c r="T53">
        <f>P53/P52</f>
        <v>1.2465169833045482</v>
      </c>
      <c r="U53">
        <v>26.6492</v>
      </c>
    </row>
    <row r="55" spans="13:21">
      <c r="M55" t="s">
        <v>112</v>
      </c>
      <c r="N55" s="4" t="s">
        <v>59</v>
      </c>
      <c r="P55">
        <f>P53/P52</f>
        <v>1.2465169833045482</v>
      </c>
      <c r="Q55">
        <f>Q53/Q52</f>
        <v>1.2446693698362064</v>
      </c>
      <c r="R55">
        <f>R53/R52</f>
        <v>1.4867203819755297</v>
      </c>
      <c r="T55">
        <f>R55-Q55</f>
        <v>0.24205101213932334</v>
      </c>
    </row>
    <row r="56" spans="13:21">
      <c r="N56" s="2" t="s">
        <v>60</v>
      </c>
      <c r="P56">
        <f>P53/P41</f>
        <v>1.2836139435617737</v>
      </c>
      <c r="Q56">
        <f>Q53/Q41</f>
        <v>1.2396952070241056</v>
      </c>
      <c r="R56">
        <f>R53/R41</f>
        <v>1.3939563514269726</v>
      </c>
      <c r="T56">
        <f>R56-Q56</f>
        <v>0.15426114440286698</v>
      </c>
    </row>
    <row r="57" spans="13:21" ht="16.5">
      <c r="N57" s="3"/>
    </row>
    <row r="58" spans="13:21">
      <c r="M58" t="s">
        <v>113</v>
      </c>
      <c r="N58" s="4" t="s">
        <v>59</v>
      </c>
      <c r="Q58">
        <f>Q5/Q4</f>
        <v>1.0864255492721189</v>
      </c>
      <c r="R58">
        <f>R5/R4</f>
        <v>1.0476389469285416</v>
      </c>
    </row>
    <row r="59" spans="13:21">
      <c r="N59" s="2" t="s">
        <v>60</v>
      </c>
      <c r="Q59">
        <f>Q6/Q5</f>
        <v>1.1214618893558683</v>
      </c>
      <c r="R59">
        <f>R6/R5</f>
        <v>1.0439768647786198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05481-3FC7-4540-93BD-DB7C884C3992}">
  <dimension ref="B2:H53"/>
  <sheetViews>
    <sheetView topLeftCell="A4" workbookViewId="0">
      <selection activeCell="C3" sqref="C3:C53"/>
    </sheetView>
  </sheetViews>
  <sheetFormatPr defaultRowHeight="15"/>
  <cols>
    <col min="2" max="2" width="11.5703125" bestFit="1" customWidth="1"/>
    <col min="3" max="6" width="7.140625" bestFit="1" customWidth="1"/>
    <col min="7" max="7" width="8.42578125" bestFit="1" customWidth="1"/>
    <col min="8" max="8" width="9.7109375" bestFit="1" customWidth="1"/>
  </cols>
  <sheetData>
    <row r="2" spans="2:8" ht="33">
      <c r="B2" s="19" t="s">
        <v>26</v>
      </c>
      <c r="C2" s="20" t="s">
        <v>61</v>
      </c>
      <c r="D2" s="20" t="s">
        <v>62</v>
      </c>
      <c r="E2" s="20" t="s">
        <v>63</v>
      </c>
      <c r="F2" s="20" t="s">
        <v>64</v>
      </c>
      <c r="G2" s="20" t="s">
        <v>65</v>
      </c>
      <c r="H2" s="20" t="s">
        <v>66</v>
      </c>
    </row>
    <row r="3" spans="2:8" ht="16.5">
      <c r="B3" s="21">
        <v>44562</v>
      </c>
      <c r="C3" s="22">
        <v>88.15</v>
      </c>
      <c r="D3" s="23">
        <v>75.69</v>
      </c>
      <c r="E3" s="23">
        <v>88.84</v>
      </c>
      <c r="F3" s="23">
        <v>74.27</v>
      </c>
      <c r="G3" s="23" t="s">
        <v>111</v>
      </c>
      <c r="H3" s="24">
        <v>0.1721</v>
      </c>
    </row>
    <row r="4" spans="2:8" ht="16.5">
      <c r="B4" s="21">
        <v>44593</v>
      </c>
      <c r="C4" s="22">
        <v>95.72</v>
      </c>
      <c r="D4" s="23">
        <v>88.15</v>
      </c>
      <c r="E4" s="23">
        <v>100.54</v>
      </c>
      <c r="F4" s="23">
        <v>86.55</v>
      </c>
      <c r="G4" s="23" t="s">
        <v>110</v>
      </c>
      <c r="H4" s="24">
        <v>8.5900000000000004E-2</v>
      </c>
    </row>
    <row r="5" spans="2:8" ht="16.5">
      <c r="B5" s="21">
        <v>44621</v>
      </c>
      <c r="C5" s="22">
        <v>100.28</v>
      </c>
      <c r="D5" s="23">
        <v>96.09</v>
      </c>
      <c r="E5" s="23">
        <v>130.5</v>
      </c>
      <c r="F5" s="23">
        <v>93.53</v>
      </c>
      <c r="G5" s="23" t="s">
        <v>109</v>
      </c>
      <c r="H5" s="24">
        <v>4.7600000000000003E-2</v>
      </c>
    </row>
    <row r="6" spans="2:8" ht="16.5">
      <c r="B6" s="21">
        <v>44652</v>
      </c>
      <c r="C6" s="22">
        <v>104.69</v>
      </c>
      <c r="D6" s="23">
        <v>101.23</v>
      </c>
      <c r="E6" s="23">
        <v>109.81</v>
      </c>
      <c r="F6" s="23">
        <v>92.93</v>
      </c>
      <c r="G6" s="23" t="s">
        <v>108</v>
      </c>
      <c r="H6" s="24">
        <v>4.3999999999999997E-2</v>
      </c>
    </row>
    <row r="7" spans="2:8" ht="16.5">
      <c r="B7" s="21">
        <v>44682</v>
      </c>
      <c r="C7" s="22">
        <v>114.67</v>
      </c>
      <c r="D7" s="23">
        <v>104</v>
      </c>
      <c r="E7" s="23">
        <v>119.98</v>
      </c>
      <c r="F7" s="23">
        <v>98.2</v>
      </c>
      <c r="G7" s="23" t="s">
        <v>107</v>
      </c>
      <c r="H7" s="24">
        <v>9.5299999999999996E-2</v>
      </c>
    </row>
    <row r="8" spans="2:8" ht="16.5">
      <c r="B8" s="21">
        <v>44713</v>
      </c>
      <c r="C8" s="25">
        <v>105.76</v>
      </c>
      <c r="D8" s="23">
        <v>115.4</v>
      </c>
      <c r="E8" s="23">
        <v>123.68</v>
      </c>
      <c r="F8" s="23">
        <v>101.53</v>
      </c>
      <c r="G8" s="23" t="s">
        <v>106</v>
      </c>
      <c r="H8" s="26">
        <v>-7.7700000000000005E-2</v>
      </c>
    </row>
    <row r="9" spans="2:8" ht="16.5">
      <c r="B9" s="21">
        <v>44743</v>
      </c>
      <c r="C9" s="25">
        <v>98.62</v>
      </c>
      <c r="D9" s="23">
        <v>106.01</v>
      </c>
      <c r="E9" s="23">
        <v>111.45</v>
      </c>
      <c r="F9" s="23">
        <v>90.56</v>
      </c>
      <c r="G9" s="23" t="s">
        <v>96</v>
      </c>
      <c r="H9" s="26">
        <v>-6.7500000000000004E-2</v>
      </c>
    </row>
    <row r="10" spans="2:8" ht="16.5">
      <c r="B10" s="21">
        <v>44774</v>
      </c>
      <c r="C10" s="25">
        <v>89.55</v>
      </c>
      <c r="D10" s="23">
        <v>98.46</v>
      </c>
      <c r="E10" s="23">
        <v>98.65</v>
      </c>
      <c r="F10" s="23">
        <v>85.73</v>
      </c>
      <c r="G10" s="23" t="s">
        <v>105</v>
      </c>
      <c r="H10" s="26">
        <v>-9.1999999999999998E-2</v>
      </c>
    </row>
    <row r="11" spans="2:8" ht="16.5">
      <c r="B11" s="21">
        <v>44805</v>
      </c>
      <c r="C11" s="25">
        <v>79.489999999999995</v>
      </c>
      <c r="D11" s="23">
        <v>88.83</v>
      </c>
      <c r="E11" s="23">
        <v>90.39</v>
      </c>
      <c r="F11" s="23">
        <v>76.25</v>
      </c>
      <c r="G11" s="23" t="s">
        <v>104</v>
      </c>
      <c r="H11" s="26">
        <v>-0.1123</v>
      </c>
    </row>
    <row r="12" spans="2:8" ht="16.5">
      <c r="B12" s="21">
        <v>44835</v>
      </c>
      <c r="C12" s="22">
        <v>86.53</v>
      </c>
      <c r="D12" s="23">
        <v>81.02</v>
      </c>
      <c r="E12" s="23">
        <v>93.64</v>
      </c>
      <c r="F12" s="23">
        <v>80.87</v>
      </c>
      <c r="G12" s="23" t="s">
        <v>103</v>
      </c>
      <c r="H12" s="24">
        <v>8.8599999999999998E-2</v>
      </c>
    </row>
    <row r="13" spans="2:8" ht="16.5">
      <c r="B13" s="21">
        <v>44866</v>
      </c>
      <c r="C13" s="25">
        <v>80.56</v>
      </c>
      <c r="D13" s="23">
        <v>86.17</v>
      </c>
      <c r="E13" s="23">
        <v>93.74</v>
      </c>
      <c r="F13" s="23">
        <v>73.61</v>
      </c>
      <c r="G13" s="23" t="s">
        <v>102</v>
      </c>
      <c r="H13" s="26">
        <v>-6.9000000000000006E-2</v>
      </c>
    </row>
    <row r="14" spans="2:8" ht="16.5">
      <c r="B14" s="21">
        <v>44896</v>
      </c>
      <c r="C14" s="25">
        <v>80.47</v>
      </c>
      <c r="D14" s="23">
        <v>80.56</v>
      </c>
      <c r="E14" s="23">
        <v>83.33</v>
      </c>
      <c r="F14" s="23">
        <v>70.11</v>
      </c>
      <c r="G14" s="23"/>
      <c r="H14" s="26">
        <v>-1.1000000000000001E-3</v>
      </c>
    </row>
    <row r="15" spans="2:8" ht="16.5">
      <c r="B15" s="21">
        <v>44927</v>
      </c>
      <c r="C15" s="25">
        <v>80.11</v>
      </c>
      <c r="D15" s="23">
        <v>80.569999999999993</v>
      </c>
      <c r="E15" s="23">
        <v>82.66</v>
      </c>
      <c r="F15" s="23">
        <v>72.47</v>
      </c>
      <c r="G15" s="23" t="s">
        <v>101</v>
      </c>
      <c r="H15" s="26">
        <v>-4.4999999999999997E-3</v>
      </c>
    </row>
    <row r="16" spans="2:8" ht="16.5">
      <c r="B16" s="21">
        <v>44958</v>
      </c>
      <c r="C16" s="25">
        <v>77.05</v>
      </c>
      <c r="D16" s="23">
        <v>79.12</v>
      </c>
      <c r="E16" s="23">
        <v>80.61</v>
      </c>
      <c r="F16" s="23">
        <v>72.25</v>
      </c>
      <c r="G16" s="23" t="s">
        <v>100</v>
      </c>
      <c r="H16" s="26">
        <v>-3.8199999999999998E-2</v>
      </c>
    </row>
    <row r="17" spans="2:8" ht="16.5">
      <c r="B17" s="21">
        <v>44986</v>
      </c>
      <c r="C17" s="25">
        <v>75.67</v>
      </c>
      <c r="D17" s="23">
        <v>76.849999999999994</v>
      </c>
      <c r="E17" s="23">
        <v>80.94</v>
      </c>
      <c r="F17" s="23">
        <v>64.12</v>
      </c>
      <c r="G17" s="23" t="s">
        <v>99</v>
      </c>
      <c r="H17" s="26">
        <v>-1.7899999999999999E-2</v>
      </c>
    </row>
    <row r="18" spans="2:8" ht="16.5">
      <c r="B18" s="21">
        <v>45017</v>
      </c>
      <c r="C18" s="22">
        <v>76.78</v>
      </c>
      <c r="D18" s="23">
        <v>80.27</v>
      </c>
      <c r="E18" s="23">
        <v>83.53</v>
      </c>
      <c r="F18" s="23">
        <v>73.930000000000007</v>
      </c>
      <c r="G18" s="23" t="s">
        <v>98</v>
      </c>
      <c r="H18" s="24">
        <v>1.47E-2</v>
      </c>
    </row>
    <row r="19" spans="2:8" ht="16.5">
      <c r="B19" s="21">
        <v>45047</v>
      </c>
      <c r="C19" s="25">
        <v>68.09</v>
      </c>
      <c r="D19" s="23">
        <v>76.13</v>
      </c>
      <c r="E19" s="23">
        <v>76.28</v>
      </c>
      <c r="F19" s="23">
        <v>63.7</v>
      </c>
      <c r="G19" s="23" t="s">
        <v>97</v>
      </c>
      <c r="H19" s="26">
        <v>-0.1132</v>
      </c>
    </row>
    <row r="20" spans="2:8" ht="16.5">
      <c r="B20" s="21">
        <v>45078</v>
      </c>
      <c r="C20" s="22">
        <v>70.64</v>
      </c>
      <c r="D20" s="23">
        <v>67.599999999999994</v>
      </c>
      <c r="E20" s="23">
        <v>75.06</v>
      </c>
      <c r="F20" s="23">
        <v>66.8</v>
      </c>
      <c r="G20" s="23" t="s">
        <v>96</v>
      </c>
      <c r="H20" s="24">
        <v>3.7499999999999999E-2</v>
      </c>
    </row>
    <row r="21" spans="2:8" ht="16.5">
      <c r="B21" s="21">
        <v>45108</v>
      </c>
      <c r="C21" s="22">
        <v>81.8</v>
      </c>
      <c r="D21" s="23">
        <v>70.459999999999994</v>
      </c>
      <c r="E21" s="23">
        <v>82</v>
      </c>
      <c r="F21" s="23">
        <v>69.7</v>
      </c>
      <c r="G21" s="23" t="s">
        <v>95</v>
      </c>
      <c r="H21" s="24">
        <v>0.158</v>
      </c>
    </row>
    <row r="22" spans="2:8" ht="16.5">
      <c r="B22" s="21">
        <v>45139</v>
      </c>
      <c r="C22" s="22">
        <v>83.63</v>
      </c>
      <c r="D22" s="23">
        <v>81.64</v>
      </c>
      <c r="E22" s="23">
        <v>84.89</v>
      </c>
      <c r="F22" s="23">
        <v>77.59</v>
      </c>
      <c r="G22" s="23" t="s">
        <v>94</v>
      </c>
      <c r="H22" s="24">
        <v>2.24E-2</v>
      </c>
    </row>
    <row r="23" spans="2:8" ht="16.5">
      <c r="B23" s="21">
        <v>45170</v>
      </c>
      <c r="C23" s="22">
        <v>90.79</v>
      </c>
      <c r="D23" s="23">
        <v>83.63</v>
      </c>
      <c r="E23" s="23">
        <v>95.03</v>
      </c>
      <c r="F23" s="23">
        <v>83.46</v>
      </c>
      <c r="G23" s="23" t="s">
        <v>93</v>
      </c>
      <c r="H23" s="24">
        <v>8.5599999999999996E-2</v>
      </c>
    </row>
    <row r="24" spans="2:8" ht="16.5">
      <c r="B24" s="21">
        <v>45200</v>
      </c>
      <c r="C24" s="25">
        <v>81.02</v>
      </c>
      <c r="D24" s="23">
        <v>90.88</v>
      </c>
      <c r="E24" s="23">
        <v>91.88</v>
      </c>
      <c r="F24" s="23">
        <v>80.739999999999995</v>
      </c>
      <c r="G24" s="23" t="s">
        <v>92</v>
      </c>
      <c r="H24" s="26">
        <v>-0.1076</v>
      </c>
    </row>
    <row r="25" spans="2:8" ht="16.5">
      <c r="B25" s="21">
        <v>45231</v>
      </c>
      <c r="C25" s="25">
        <v>75.959999999999994</v>
      </c>
      <c r="D25" s="23">
        <v>81.31</v>
      </c>
      <c r="E25" s="23">
        <v>83.6</v>
      </c>
      <c r="F25" s="23">
        <v>72.17</v>
      </c>
      <c r="G25" s="23" t="s">
        <v>91</v>
      </c>
      <c r="H25" s="26">
        <v>-6.25E-2</v>
      </c>
    </row>
    <row r="26" spans="2:8" ht="16.5">
      <c r="B26" s="21">
        <v>45261</v>
      </c>
      <c r="C26" s="25">
        <v>71.650000000000006</v>
      </c>
      <c r="D26" s="23">
        <v>75.59</v>
      </c>
      <c r="E26" s="23">
        <v>76.760000000000005</v>
      </c>
      <c r="F26" s="23">
        <v>67.709999999999994</v>
      </c>
      <c r="G26" s="23" t="s">
        <v>85</v>
      </c>
      <c r="H26" s="26">
        <v>-5.67E-2</v>
      </c>
    </row>
    <row r="27" spans="2:8" ht="16.5">
      <c r="B27" s="21">
        <v>45292</v>
      </c>
      <c r="C27" s="22">
        <v>75.849999999999994</v>
      </c>
      <c r="D27" s="23">
        <v>71.709999999999994</v>
      </c>
      <c r="E27" s="23">
        <v>79.290000000000006</v>
      </c>
      <c r="F27" s="23">
        <v>69.28</v>
      </c>
      <c r="G27" s="23" t="s">
        <v>90</v>
      </c>
      <c r="H27" s="24">
        <v>5.8599999999999999E-2</v>
      </c>
    </row>
    <row r="28" spans="2:8" ht="16.5">
      <c r="B28" s="21">
        <v>45323</v>
      </c>
      <c r="C28" s="22">
        <v>78.260000000000005</v>
      </c>
      <c r="D28" s="23">
        <v>75.959999999999994</v>
      </c>
      <c r="E28" s="23">
        <v>79.8</v>
      </c>
      <c r="F28" s="23">
        <v>71.41</v>
      </c>
      <c r="G28" s="23" t="s">
        <v>89</v>
      </c>
      <c r="H28" s="24">
        <v>3.1800000000000002E-2</v>
      </c>
    </row>
    <row r="29" spans="2:8" ht="16.5">
      <c r="B29" s="21">
        <v>45352</v>
      </c>
      <c r="C29" s="22">
        <v>83.17</v>
      </c>
      <c r="D29" s="23">
        <v>78.28</v>
      </c>
      <c r="E29" s="23">
        <v>83.85</v>
      </c>
      <c r="F29" s="23">
        <v>76.790000000000006</v>
      </c>
      <c r="G29" s="23" t="s">
        <v>88</v>
      </c>
      <c r="H29" s="24">
        <v>6.2700000000000006E-2</v>
      </c>
    </row>
    <row r="30" spans="2:8" ht="16.5">
      <c r="B30" s="21">
        <v>45383</v>
      </c>
      <c r="C30" s="25">
        <v>81.93</v>
      </c>
      <c r="D30" s="23">
        <v>83.14</v>
      </c>
      <c r="E30" s="23">
        <v>87.67</v>
      </c>
      <c r="F30" s="23">
        <v>80.88</v>
      </c>
      <c r="G30" s="23" t="s">
        <v>87</v>
      </c>
      <c r="H30" s="26">
        <v>-1.49E-2</v>
      </c>
    </row>
    <row r="31" spans="2:8" ht="16.5">
      <c r="B31" s="21">
        <v>45413</v>
      </c>
      <c r="C31" s="25">
        <v>76.989999999999995</v>
      </c>
      <c r="D31" s="23">
        <v>81.48</v>
      </c>
      <c r="E31" s="23">
        <v>81.569999999999993</v>
      </c>
      <c r="F31" s="23">
        <v>76.150000000000006</v>
      </c>
      <c r="G31" s="23" t="s">
        <v>86</v>
      </c>
      <c r="H31" s="26">
        <v>-6.0299999999999999E-2</v>
      </c>
    </row>
    <row r="32" spans="2:8" ht="16.5">
      <c r="B32" s="21">
        <v>45444</v>
      </c>
      <c r="C32" s="22">
        <v>81.540000000000006</v>
      </c>
      <c r="D32" s="23">
        <v>76.97</v>
      </c>
      <c r="E32" s="23">
        <v>82.72</v>
      </c>
      <c r="F32" s="23">
        <v>72.48</v>
      </c>
      <c r="G32" s="23" t="s">
        <v>85</v>
      </c>
      <c r="H32" s="24">
        <v>5.91E-2</v>
      </c>
    </row>
    <row r="33" spans="2:8" ht="16.5">
      <c r="B33" s="21">
        <v>45474</v>
      </c>
      <c r="C33" s="25">
        <v>77.91</v>
      </c>
      <c r="D33" s="23">
        <v>81.45</v>
      </c>
      <c r="E33" s="23">
        <v>84.52</v>
      </c>
      <c r="F33" s="23">
        <v>74.59</v>
      </c>
      <c r="G33" s="23" t="s">
        <v>84</v>
      </c>
      <c r="H33" s="26">
        <v>-4.4499999999999998E-2</v>
      </c>
    </row>
    <row r="34" spans="2:8" ht="16.5">
      <c r="B34" s="21">
        <v>45505</v>
      </c>
      <c r="C34" s="25">
        <v>73.55</v>
      </c>
      <c r="D34" s="23">
        <v>78.59</v>
      </c>
      <c r="E34" s="23">
        <v>80.16</v>
      </c>
      <c r="F34" s="23">
        <v>71.459999999999994</v>
      </c>
      <c r="G34" s="23" t="s">
        <v>83</v>
      </c>
      <c r="H34" s="26">
        <v>-5.6000000000000001E-2</v>
      </c>
    </row>
    <row r="35" spans="2:8" ht="16.5">
      <c r="B35" s="21">
        <v>45536</v>
      </c>
      <c r="C35" s="25">
        <v>68.17</v>
      </c>
      <c r="D35" s="23">
        <v>73.53</v>
      </c>
      <c r="E35" s="23">
        <v>74.41</v>
      </c>
      <c r="F35" s="23">
        <v>65.27</v>
      </c>
      <c r="G35" s="23" t="s">
        <v>82</v>
      </c>
      <c r="H35" s="26">
        <v>-7.3099999999999998E-2</v>
      </c>
    </row>
    <row r="36" spans="2:8" ht="16.5">
      <c r="B36" s="21">
        <v>45566</v>
      </c>
      <c r="C36" s="22">
        <v>69.260000000000005</v>
      </c>
      <c r="D36" s="23">
        <v>68.41</v>
      </c>
      <c r="E36" s="23">
        <v>78.459999999999994</v>
      </c>
      <c r="F36" s="23">
        <v>66.33</v>
      </c>
      <c r="G36" s="23" t="s">
        <v>81</v>
      </c>
      <c r="H36" s="24">
        <v>1.6E-2</v>
      </c>
    </row>
    <row r="37" spans="2:8" ht="16.5">
      <c r="B37" s="21">
        <v>45597</v>
      </c>
      <c r="C37" s="25">
        <v>68</v>
      </c>
      <c r="D37" s="23">
        <v>70.44</v>
      </c>
      <c r="E37" s="23">
        <v>72.88</v>
      </c>
      <c r="F37" s="23">
        <v>66.61</v>
      </c>
      <c r="G37" s="23" t="s">
        <v>77</v>
      </c>
      <c r="H37" s="26">
        <v>-1.8200000000000001E-2</v>
      </c>
    </row>
    <row r="38" spans="2:8" ht="16.5">
      <c r="B38" s="21">
        <v>45627</v>
      </c>
      <c r="C38" s="22">
        <v>71.72</v>
      </c>
      <c r="D38" s="23">
        <v>68</v>
      </c>
      <c r="E38" s="23">
        <v>72.02</v>
      </c>
      <c r="F38" s="23">
        <v>66.98</v>
      </c>
      <c r="G38" s="23" t="s">
        <v>80</v>
      </c>
      <c r="H38" s="24">
        <v>5.4699999999999999E-2</v>
      </c>
    </row>
    <row r="39" spans="2:8" ht="16.5">
      <c r="B39" s="21">
        <v>45658</v>
      </c>
      <c r="C39" s="22">
        <v>72.53</v>
      </c>
      <c r="D39" s="23">
        <v>71.849999999999994</v>
      </c>
      <c r="E39" s="23">
        <v>80.77</v>
      </c>
      <c r="F39" s="23">
        <v>71.790000000000006</v>
      </c>
      <c r="G39" s="23" t="s">
        <v>72</v>
      </c>
      <c r="H39" s="24">
        <v>1.1299999999999999E-2</v>
      </c>
    </row>
    <row r="40" spans="2:8" ht="16.5">
      <c r="B40" s="21">
        <v>45689</v>
      </c>
      <c r="C40" s="25">
        <v>69.760000000000005</v>
      </c>
      <c r="D40" s="23">
        <v>74.14</v>
      </c>
      <c r="E40" s="23">
        <v>75.180000000000007</v>
      </c>
      <c r="F40" s="23">
        <v>68.36</v>
      </c>
      <c r="G40" s="23" t="s">
        <v>79</v>
      </c>
      <c r="H40" s="26">
        <v>-3.8199999999999998E-2</v>
      </c>
    </row>
    <row r="41" spans="2:8" ht="16.5">
      <c r="B41" s="21">
        <v>45717</v>
      </c>
      <c r="C41" s="22">
        <v>71.48</v>
      </c>
      <c r="D41" s="23">
        <v>69.95</v>
      </c>
      <c r="E41" s="23">
        <v>71.83</v>
      </c>
      <c r="F41" s="23">
        <v>65.22</v>
      </c>
      <c r="G41" s="23" t="s">
        <v>75</v>
      </c>
      <c r="H41" s="24">
        <v>2.47E-2</v>
      </c>
    </row>
    <row r="42" spans="2:8" ht="16.5">
      <c r="B42" s="21">
        <v>45748</v>
      </c>
      <c r="C42" s="25">
        <v>58.21</v>
      </c>
      <c r="D42" s="23">
        <v>71.39</v>
      </c>
      <c r="E42" s="23">
        <v>72.28</v>
      </c>
      <c r="F42" s="23">
        <v>55.12</v>
      </c>
      <c r="G42" s="23" t="s">
        <v>78</v>
      </c>
      <c r="H42" s="26">
        <v>-0.18559999999999999</v>
      </c>
    </row>
    <row r="43" spans="2:8" ht="16.5">
      <c r="B43" s="21">
        <v>45778</v>
      </c>
      <c r="C43" s="22">
        <v>60.79</v>
      </c>
      <c r="D43" s="23">
        <v>58.16</v>
      </c>
      <c r="E43" s="23">
        <v>64.19</v>
      </c>
      <c r="F43" s="23">
        <v>55.3</v>
      </c>
      <c r="G43" s="23" t="s">
        <v>77</v>
      </c>
      <c r="H43" s="24">
        <v>4.4299999999999999E-2</v>
      </c>
    </row>
    <row r="44" spans="2:8" ht="16.5">
      <c r="B44" s="21">
        <v>45809</v>
      </c>
      <c r="C44" s="22">
        <v>65.11</v>
      </c>
      <c r="D44" s="23">
        <v>61.11</v>
      </c>
      <c r="E44" s="23">
        <v>78.400000000000006</v>
      </c>
      <c r="F44" s="23">
        <v>61.06</v>
      </c>
      <c r="G44" s="23" t="s">
        <v>76</v>
      </c>
      <c r="H44" s="24">
        <v>7.1099999999999997E-2</v>
      </c>
    </row>
    <row r="45" spans="2:8" ht="16.5">
      <c r="B45" s="21">
        <v>45839</v>
      </c>
      <c r="C45" s="22">
        <v>69.260000000000005</v>
      </c>
      <c r="D45" s="23">
        <v>64.959999999999994</v>
      </c>
      <c r="E45" s="23">
        <v>70.510000000000005</v>
      </c>
      <c r="F45" s="23">
        <v>64.67</v>
      </c>
      <c r="G45" s="23" t="s">
        <v>75</v>
      </c>
      <c r="H45" s="24">
        <v>6.3700000000000007E-2</v>
      </c>
    </row>
    <row r="46" spans="2:8" ht="16.5">
      <c r="B46" s="21">
        <v>45870</v>
      </c>
      <c r="C46" s="25">
        <v>64.010000000000005</v>
      </c>
      <c r="D46" s="23">
        <v>69.349999999999994</v>
      </c>
      <c r="E46" s="23">
        <v>69.58</v>
      </c>
      <c r="F46" s="23">
        <v>61.94</v>
      </c>
      <c r="G46" s="23" t="s">
        <v>74</v>
      </c>
      <c r="H46" s="26">
        <v>-7.5800000000000006E-2</v>
      </c>
    </row>
    <row r="47" spans="2:8" ht="16.5">
      <c r="B47" s="21">
        <v>45901</v>
      </c>
      <c r="C47" s="25">
        <v>62.37</v>
      </c>
      <c r="D47" s="23">
        <v>63.95</v>
      </c>
      <c r="E47" s="23">
        <v>66.42</v>
      </c>
      <c r="F47" s="23">
        <v>61.45</v>
      </c>
      <c r="G47" s="23" t="s">
        <v>73</v>
      </c>
      <c r="H47" s="26">
        <v>-2.5600000000000001E-2</v>
      </c>
    </row>
    <row r="48" spans="2:8" ht="16.5">
      <c r="B48" s="21">
        <v>45931</v>
      </c>
      <c r="C48" s="25">
        <v>60.98</v>
      </c>
      <c r="D48" s="23">
        <v>62.46</v>
      </c>
      <c r="E48" s="23">
        <v>62.92</v>
      </c>
      <c r="F48" s="23">
        <v>56.35</v>
      </c>
      <c r="G48" s="23" t="s">
        <v>72</v>
      </c>
      <c r="H48" s="26">
        <v>-2.23E-2</v>
      </c>
    </row>
    <row r="49" spans="2:8" ht="16.5">
      <c r="B49" s="21">
        <v>45962</v>
      </c>
      <c r="C49" s="25">
        <v>58.55</v>
      </c>
      <c r="D49" s="23">
        <v>61.4</v>
      </c>
      <c r="E49" s="23">
        <v>61.5</v>
      </c>
      <c r="F49" s="23">
        <v>57.1</v>
      </c>
      <c r="G49" s="23" t="s">
        <v>71</v>
      </c>
      <c r="H49" s="26">
        <v>-3.9800000000000002E-2</v>
      </c>
    </row>
    <row r="50" spans="2:8" ht="16.5">
      <c r="B50" s="21">
        <v>45992</v>
      </c>
      <c r="C50" s="25">
        <v>57.42</v>
      </c>
      <c r="D50" s="23">
        <v>58.96</v>
      </c>
      <c r="E50" s="23">
        <v>60.5</v>
      </c>
      <c r="F50" s="23">
        <v>54.98</v>
      </c>
      <c r="G50" s="23" t="s">
        <v>70</v>
      </c>
      <c r="H50" s="26">
        <v>-1.9300000000000001E-2</v>
      </c>
    </row>
    <row r="51" spans="2:8" ht="16.5">
      <c r="B51" s="21">
        <v>46023</v>
      </c>
      <c r="C51" s="22">
        <v>65.209999999999994</v>
      </c>
      <c r="D51" s="23">
        <v>57.41</v>
      </c>
      <c r="E51" s="23">
        <v>66.48</v>
      </c>
      <c r="F51" s="23">
        <v>55.76</v>
      </c>
      <c r="G51" s="23" t="s">
        <v>69</v>
      </c>
      <c r="H51" s="24">
        <v>0.13569999999999999</v>
      </c>
    </row>
    <row r="52" spans="2:8" ht="16.5">
      <c r="B52" s="21">
        <v>46054</v>
      </c>
      <c r="C52" s="22">
        <v>67.02</v>
      </c>
      <c r="D52" s="23">
        <v>64.72</v>
      </c>
      <c r="E52" s="23">
        <v>67.83</v>
      </c>
      <c r="F52" s="23">
        <v>61.12</v>
      </c>
      <c r="G52" s="23" t="s">
        <v>68</v>
      </c>
      <c r="H52" s="24">
        <v>2.7799999999999998E-2</v>
      </c>
    </row>
    <row r="53" spans="2:8" ht="16.5">
      <c r="B53" s="21">
        <v>46082</v>
      </c>
      <c r="C53" s="22">
        <v>99.64</v>
      </c>
      <c r="D53" s="23">
        <v>75</v>
      </c>
      <c r="E53" s="23">
        <v>119.48</v>
      </c>
      <c r="F53" s="23">
        <v>69.2</v>
      </c>
      <c r="G53" s="23" t="s">
        <v>67</v>
      </c>
      <c r="H53" s="24">
        <v>0.48670000000000002</v>
      </c>
    </row>
  </sheetData>
  <autoFilter ref="B2:H2" xr:uid="{05605481-3FC7-4540-93BD-DB7C884C3992}">
    <sortState xmlns:xlrd2="http://schemas.microsoft.com/office/spreadsheetml/2017/richdata2" ref="B3:H53">
      <sortCondition ref="B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2CD4-6699-4D2E-B930-E737CF8EA39D}">
  <dimension ref="B2:M22"/>
  <sheetViews>
    <sheetView workbookViewId="0">
      <selection activeCell="I20" sqref="I20"/>
    </sheetView>
  </sheetViews>
  <sheetFormatPr defaultRowHeight="15"/>
  <sheetData>
    <row r="2" spans="2:13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2:13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2:13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2:13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2:13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2:13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2:13"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2:13"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2:13"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2:13"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2:13"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2:13"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2:13"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2:13"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2:13"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2:13"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2:13"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2:13"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2:13"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2:13"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2:13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716AD-9B9C-47CB-A60B-43D3093E874F}">
  <dimension ref="B1:J1088"/>
  <sheetViews>
    <sheetView topLeftCell="A2" workbookViewId="0">
      <selection activeCell="J3" sqref="J3:J54"/>
    </sheetView>
  </sheetViews>
  <sheetFormatPr defaultRowHeight="15"/>
  <cols>
    <col min="2" max="2" width="12" bestFit="1" customWidth="1"/>
    <col min="3" max="3" width="5.85546875" bestFit="1" customWidth="1"/>
    <col min="4" max="4" width="5.85546875" customWidth="1"/>
    <col min="5" max="5" width="7.85546875" bestFit="1" customWidth="1"/>
    <col min="7" max="7" width="13.42578125" bestFit="1" customWidth="1"/>
    <col min="8" max="8" width="11" bestFit="1" customWidth="1"/>
    <col min="9" max="9" width="7.5703125" bestFit="1" customWidth="1"/>
    <col min="10" max="10" width="10.42578125" bestFit="1" customWidth="1"/>
  </cols>
  <sheetData>
    <row r="1" spans="2:10">
      <c r="G1" s="9" t="s">
        <v>38</v>
      </c>
      <c r="H1" t="s">
        <v>39</v>
      </c>
    </row>
    <row r="2" spans="2:10" ht="39">
      <c r="B2" s="5" t="s">
        <v>26</v>
      </c>
      <c r="C2" s="5" t="s">
        <v>27</v>
      </c>
      <c r="D2" s="5" t="s">
        <v>38</v>
      </c>
      <c r="E2" s="6" t="s">
        <v>28</v>
      </c>
    </row>
    <row r="3" spans="2:10">
      <c r="B3" s="7">
        <v>44564</v>
      </c>
      <c r="C3" s="8">
        <v>2022</v>
      </c>
      <c r="D3" s="8" t="b">
        <f>ISNUMBER(E3)</f>
        <v>1</v>
      </c>
      <c r="E3">
        <v>75.989999999999995</v>
      </c>
      <c r="G3" s="9" t="s">
        <v>50</v>
      </c>
      <c r="H3" s="9" t="s">
        <v>51</v>
      </c>
      <c r="I3" s="9" t="s">
        <v>26</v>
      </c>
      <c r="J3" t="s">
        <v>40</v>
      </c>
    </row>
    <row r="4" spans="2:10">
      <c r="B4" s="7">
        <v>44565</v>
      </c>
      <c r="C4" s="8">
        <v>2022</v>
      </c>
      <c r="D4" s="8" t="b">
        <f t="shared" ref="D4:D67" si="0">ISNUMBER(E4)</f>
        <v>1</v>
      </c>
      <c r="E4">
        <v>77</v>
      </c>
      <c r="G4" t="s">
        <v>31</v>
      </c>
      <c r="H4" t="s">
        <v>36</v>
      </c>
      <c r="J4" s="13">
        <v>83.221999999999994</v>
      </c>
    </row>
    <row r="5" spans="2:10">
      <c r="B5" s="7">
        <v>44566</v>
      </c>
      <c r="C5" s="8">
        <v>2022</v>
      </c>
      <c r="D5" s="8" t="b">
        <f t="shared" si="0"/>
        <v>1</v>
      </c>
      <c r="E5">
        <v>77.83</v>
      </c>
      <c r="G5" t="s">
        <v>31</v>
      </c>
      <c r="H5" t="s">
        <v>5</v>
      </c>
      <c r="J5" s="13">
        <v>91.641052631578944</v>
      </c>
    </row>
    <row r="6" spans="2:10">
      <c r="B6" s="7">
        <v>44567</v>
      </c>
      <c r="C6" s="8">
        <v>2022</v>
      </c>
      <c r="D6" s="8" t="b">
        <f t="shared" si="0"/>
        <v>1</v>
      </c>
      <c r="E6">
        <v>79.47</v>
      </c>
      <c r="G6" t="s">
        <v>31</v>
      </c>
      <c r="H6" t="s">
        <v>37</v>
      </c>
      <c r="J6" s="13">
        <v>108.50260869565219</v>
      </c>
    </row>
    <row r="7" spans="2:10">
      <c r="B7" s="7">
        <v>44568</v>
      </c>
      <c r="C7" s="8">
        <v>2022</v>
      </c>
      <c r="D7" s="8" t="b">
        <f t="shared" si="0"/>
        <v>1</v>
      </c>
      <c r="E7">
        <v>79</v>
      </c>
      <c r="G7" t="s">
        <v>31</v>
      </c>
      <c r="H7" t="s">
        <v>41</v>
      </c>
      <c r="J7" s="13">
        <v>101.77749999999999</v>
      </c>
    </row>
    <row r="8" spans="2:10">
      <c r="B8" s="7">
        <v>44571</v>
      </c>
      <c r="C8" s="8">
        <v>2022</v>
      </c>
      <c r="D8" s="8" t="b">
        <f t="shared" si="0"/>
        <v>1</v>
      </c>
      <c r="E8">
        <v>78.11</v>
      </c>
      <c r="G8" t="s">
        <v>31</v>
      </c>
      <c r="H8" t="s">
        <v>42</v>
      </c>
      <c r="J8" s="13">
        <v>109.55238095238097</v>
      </c>
    </row>
    <row r="9" spans="2:10">
      <c r="B9" s="7">
        <v>44572</v>
      </c>
      <c r="C9" s="8">
        <v>2022</v>
      </c>
      <c r="D9" s="8" t="b">
        <f t="shared" si="0"/>
        <v>1</v>
      </c>
      <c r="E9">
        <v>81.17</v>
      </c>
      <c r="G9" t="s">
        <v>31</v>
      </c>
      <c r="H9" t="s">
        <v>43</v>
      </c>
      <c r="J9" s="13">
        <v>114.83714285714285</v>
      </c>
    </row>
    <row r="10" spans="2:10">
      <c r="B10" s="7">
        <v>44573</v>
      </c>
      <c r="C10" s="8">
        <v>2022</v>
      </c>
      <c r="D10" s="8" t="b">
        <f t="shared" si="0"/>
        <v>1</v>
      </c>
      <c r="E10">
        <v>82.51</v>
      </c>
      <c r="G10" t="s">
        <v>31</v>
      </c>
      <c r="H10" t="s">
        <v>44</v>
      </c>
      <c r="J10" s="13">
        <v>101.61899999999999</v>
      </c>
    </row>
    <row r="11" spans="2:10">
      <c r="B11" s="7">
        <v>44574</v>
      </c>
      <c r="C11" s="8">
        <v>2022</v>
      </c>
      <c r="D11" s="8" t="b">
        <f t="shared" si="0"/>
        <v>1</v>
      </c>
      <c r="E11">
        <v>81.97</v>
      </c>
      <c r="G11" t="s">
        <v>31</v>
      </c>
      <c r="H11" t="s">
        <v>45</v>
      </c>
      <c r="J11" s="13">
        <v>93.665217391304353</v>
      </c>
    </row>
    <row r="12" spans="2:10">
      <c r="B12" s="7">
        <v>44575</v>
      </c>
      <c r="C12" s="8">
        <v>2022</v>
      </c>
      <c r="D12" s="8" t="b">
        <f t="shared" si="0"/>
        <v>1</v>
      </c>
      <c r="E12">
        <v>83.82</v>
      </c>
      <c r="G12" t="s">
        <v>31</v>
      </c>
      <c r="H12" t="s">
        <v>46</v>
      </c>
      <c r="J12" s="13">
        <v>84.258095238095251</v>
      </c>
    </row>
    <row r="13" spans="2:10">
      <c r="B13" s="7">
        <v>44578</v>
      </c>
      <c r="C13" s="8">
        <v>2022</v>
      </c>
      <c r="D13" s="8" t="b">
        <f t="shared" si="0"/>
        <v>0</v>
      </c>
      <c r="G13" t="s">
        <v>31</v>
      </c>
      <c r="H13" t="s">
        <v>47</v>
      </c>
      <c r="J13" s="13">
        <v>87.554761904761904</v>
      </c>
    </row>
    <row r="14" spans="2:10">
      <c r="B14" s="7">
        <v>44579</v>
      </c>
      <c r="C14" s="8">
        <v>2022</v>
      </c>
      <c r="D14" s="8" t="b">
        <f t="shared" si="0"/>
        <v>1</v>
      </c>
      <c r="E14">
        <v>85.42</v>
      </c>
      <c r="G14" t="s">
        <v>31</v>
      </c>
      <c r="H14" t="s">
        <v>48</v>
      </c>
      <c r="J14" s="13">
        <v>84.370476190476182</v>
      </c>
    </row>
    <row r="15" spans="2:10">
      <c r="B15" s="7">
        <v>44580</v>
      </c>
      <c r="C15" s="8">
        <v>2022</v>
      </c>
      <c r="D15" s="8" t="b">
        <f t="shared" si="0"/>
        <v>1</v>
      </c>
      <c r="E15">
        <v>86.84</v>
      </c>
      <c r="G15" t="s">
        <v>31</v>
      </c>
      <c r="H15" t="s">
        <v>49</v>
      </c>
      <c r="J15" s="13">
        <v>76.437142857142888</v>
      </c>
    </row>
    <row r="16" spans="2:10">
      <c r="B16" s="7">
        <v>44581</v>
      </c>
      <c r="C16" s="8">
        <v>2022</v>
      </c>
      <c r="D16" s="8" t="b">
        <f t="shared" si="0"/>
        <v>1</v>
      </c>
      <c r="E16">
        <v>86.29</v>
      </c>
      <c r="G16" t="s">
        <v>32</v>
      </c>
      <c r="H16" t="s">
        <v>36</v>
      </c>
      <c r="J16" s="13">
        <v>78.123000000000019</v>
      </c>
    </row>
    <row r="17" spans="2:10">
      <c r="B17" s="7">
        <v>44582</v>
      </c>
      <c r="C17" s="8">
        <v>2022</v>
      </c>
      <c r="D17" s="8" t="b">
        <f t="shared" si="0"/>
        <v>1</v>
      </c>
      <c r="E17">
        <v>85.16</v>
      </c>
      <c r="G17" t="s">
        <v>32</v>
      </c>
      <c r="H17" t="s">
        <v>5</v>
      </c>
      <c r="J17" s="13">
        <v>76.832631578947371</v>
      </c>
    </row>
    <row r="18" spans="2:10">
      <c r="B18" s="7">
        <v>44585</v>
      </c>
      <c r="C18" s="8">
        <v>2022</v>
      </c>
      <c r="D18" s="8" t="b">
        <f t="shared" si="0"/>
        <v>1</v>
      </c>
      <c r="E18">
        <v>84.48</v>
      </c>
      <c r="G18" t="s">
        <v>32</v>
      </c>
      <c r="H18" t="s">
        <v>37</v>
      </c>
      <c r="J18" s="13">
        <v>73.277826086956523</v>
      </c>
    </row>
    <row r="19" spans="2:10">
      <c r="B19" s="7">
        <v>44586</v>
      </c>
      <c r="C19" s="8">
        <v>2022</v>
      </c>
      <c r="D19" s="8" t="b">
        <f t="shared" si="0"/>
        <v>1</v>
      </c>
      <c r="E19">
        <v>86.61</v>
      </c>
      <c r="G19" t="s">
        <v>32</v>
      </c>
      <c r="H19" t="s">
        <v>41</v>
      </c>
      <c r="J19" s="13">
        <v>79.446315789473672</v>
      </c>
    </row>
    <row r="20" spans="2:10">
      <c r="B20" s="7">
        <v>44587</v>
      </c>
      <c r="C20" s="8">
        <v>2022</v>
      </c>
      <c r="D20" s="8" t="b">
        <f t="shared" si="0"/>
        <v>1</v>
      </c>
      <c r="E20">
        <v>88.33</v>
      </c>
      <c r="G20" t="s">
        <v>32</v>
      </c>
      <c r="H20" t="s">
        <v>42</v>
      </c>
      <c r="J20" s="13">
        <v>71.578181818181804</v>
      </c>
    </row>
    <row r="21" spans="2:10">
      <c r="B21" s="7">
        <v>44588</v>
      </c>
      <c r="C21" s="8">
        <v>2022</v>
      </c>
      <c r="D21" s="8" t="b">
        <f t="shared" si="0"/>
        <v>1</v>
      </c>
      <c r="E21">
        <v>87.61</v>
      </c>
      <c r="G21" t="s">
        <v>32</v>
      </c>
      <c r="H21" t="s">
        <v>43</v>
      </c>
      <c r="J21" s="13">
        <v>70.248095238095246</v>
      </c>
    </row>
    <row r="22" spans="2:10">
      <c r="B22" s="7">
        <v>44589</v>
      </c>
      <c r="C22" s="8">
        <v>2022</v>
      </c>
      <c r="D22" s="8" t="b">
        <f t="shared" si="0"/>
        <v>1</v>
      </c>
      <c r="E22">
        <v>87.67</v>
      </c>
      <c r="G22" t="s">
        <v>32</v>
      </c>
      <c r="H22" t="s">
        <v>44</v>
      </c>
      <c r="J22" s="13">
        <v>76.069499999999977</v>
      </c>
    </row>
    <row r="23" spans="2:10">
      <c r="B23" s="7">
        <v>44592</v>
      </c>
      <c r="C23" s="8">
        <v>2022</v>
      </c>
      <c r="D23" s="8" t="b">
        <f t="shared" si="0"/>
        <v>1</v>
      </c>
      <c r="E23">
        <v>89.16</v>
      </c>
      <c r="G23" t="s">
        <v>32</v>
      </c>
      <c r="H23" t="s">
        <v>45</v>
      </c>
      <c r="J23" s="13">
        <v>81.386086956521751</v>
      </c>
    </row>
    <row r="24" spans="2:10">
      <c r="B24" s="7">
        <v>44593</v>
      </c>
      <c r="C24" s="8">
        <v>2022</v>
      </c>
      <c r="D24" s="8" t="b">
        <f t="shared" si="0"/>
        <v>1</v>
      </c>
      <c r="E24">
        <v>88.22</v>
      </c>
      <c r="G24" t="s">
        <v>32</v>
      </c>
      <c r="H24" t="s">
        <v>46</v>
      </c>
      <c r="J24" s="13">
        <v>89.425000000000026</v>
      </c>
    </row>
    <row r="25" spans="2:10">
      <c r="B25" s="7">
        <v>44594</v>
      </c>
      <c r="C25" s="8">
        <v>2022</v>
      </c>
      <c r="D25" s="8" t="b">
        <f t="shared" si="0"/>
        <v>1</v>
      </c>
      <c r="E25">
        <v>88.16</v>
      </c>
      <c r="G25" t="s">
        <v>32</v>
      </c>
      <c r="H25" t="s">
        <v>47</v>
      </c>
      <c r="J25" s="13">
        <v>85.639523809523794</v>
      </c>
    </row>
    <row r="26" spans="2:10">
      <c r="B26" s="7">
        <v>44595</v>
      </c>
      <c r="C26" s="8">
        <v>2022</v>
      </c>
      <c r="D26" s="8" t="b">
        <f t="shared" si="0"/>
        <v>1</v>
      </c>
      <c r="E26">
        <v>90.17</v>
      </c>
      <c r="G26" t="s">
        <v>32</v>
      </c>
      <c r="H26" t="s">
        <v>48</v>
      </c>
      <c r="J26" s="13">
        <v>77.684999999999988</v>
      </c>
    </row>
    <row r="27" spans="2:10">
      <c r="B27" s="7">
        <v>44596</v>
      </c>
      <c r="C27" s="8">
        <v>2022</v>
      </c>
      <c r="D27" s="8" t="b">
        <f t="shared" si="0"/>
        <v>1</v>
      </c>
      <c r="E27">
        <v>92.27</v>
      </c>
      <c r="G27" t="s">
        <v>32</v>
      </c>
      <c r="H27" t="s">
        <v>49</v>
      </c>
      <c r="J27" s="13">
        <v>71.900000000000006</v>
      </c>
    </row>
    <row r="28" spans="2:10">
      <c r="B28" s="7">
        <v>44599</v>
      </c>
      <c r="C28" s="8">
        <v>2022</v>
      </c>
      <c r="D28" s="8" t="b">
        <f t="shared" si="0"/>
        <v>1</v>
      </c>
      <c r="E28">
        <v>91.25</v>
      </c>
      <c r="G28" t="s">
        <v>33</v>
      </c>
      <c r="H28" t="s">
        <v>36</v>
      </c>
      <c r="J28" s="13">
        <v>74.152380952380966</v>
      </c>
    </row>
    <row r="29" spans="2:10">
      <c r="B29" s="7">
        <v>44600</v>
      </c>
      <c r="C29" s="8">
        <v>2022</v>
      </c>
      <c r="D29" s="8" t="b">
        <f t="shared" si="0"/>
        <v>1</v>
      </c>
      <c r="E29">
        <v>89.32</v>
      </c>
      <c r="G29" t="s">
        <v>33</v>
      </c>
      <c r="H29" t="s">
        <v>5</v>
      </c>
      <c r="J29" s="13">
        <v>77.248999999999995</v>
      </c>
    </row>
    <row r="30" spans="2:10">
      <c r="B30" s="7">
        <v>44601</v>
      </c>
      <c r="C30" s="8">
        <v>2022</v>
      </c>
      <c r="D30" s="8" t="b">
        <f t="shared" si="0"/>
        <v>1</v>
      </c>
      <c r="E30">
        <v>89.57</v>
      </c>
      <c r="G30" t="s">
        <v>33</v>
      </c>
      <c r="H30" t="s">
        <v>37</v>
      </c>
      <c r="J30" s="13">
        <v>81.278000000000006</v>
      </c>
    </row>
    <row r="31" spans="2:10">
      <c r="B31" s="7">
        <v>44602</v>
      </c>
      <c r="C31" s="8">
        <v>2022</v>
      </c>
      <c r="D31" s="8" t="b">
        <f t="shared" si="0"/>
        <v>1</v>
      </c>
      <c r="E31">
        <v>89.83</v>
      </c>
      <c r="G31" t="s">
        <v>33</v>
      </c>
      <c r="H31" t="s">
        <v>41</v>
      </c>
      <c r="J31" s="13">
        <v>85.347272727272724</v>
      </c>
    </row>
    <row r="32" spans="2:10">
      <c r="B32" s="7">
        <v>44603</v>
      </c>
      <c r="C32" s="8">
        <v>2022</v>
      </c>
      <c r="D32" s="8" t="b">
        <f t="shared" si="0"/>
        <v>1</v>
      </c>
      <c r="E32">
        <v>93.1</v>
      </c>
      <c r="G32" t="s">
        <v>33</v>
      </c>
      <c r="H32" t="s">
        <v>42</v>
      </c>
      <c r="J32" s="13">
        <v>80.024545454545489</v>
      </c>
    </row>
    <row r="33" spans="2:10">
      <c r="B33" s="7">
        <v>44606</v>
      </c>
      <c r="C33" s="8">
        <v>2022</v>
      </c>
      <c r="D33" s="8" t="b">
        <f t="shared" si="0"/>
        <v>1</v>
      </c>
      <c r="E33">
        <v>95.52</v>
      </c>
      <c r="G33" t="s">
        <v>33</v>
      </c>
      <c r="H33" t="s">
        <v>43</v>
      </c>
      <c r="J33" s="13">
        <v>79.767368421052609</v>
      </c>
    </row>
    <row r="34" spans="2:10">
      <c r="B34" s="7">
        <v>44607</v>
      </c>
      <c r="C34" s="8">
        <v>2022</v>
      </c>
      <c r="D34" s="8" t="b">
        <f t="shared" si="0"/>
        <v>1</v>
      </c>
      <c r="E34">
        <v>92.07</v>
      </c>
      <c r="G34" t="s">
        <v>33</v>
      </c>
      <c r="H34" t="s">
        <v>44</v>
      </c>
      <c r="J34" s="13">
        <v>81.800454545454542</v>
      </c>
    </row>
    <row r="35" spans="2:10">
      <c r="B35" s="7">
        <v>44608</v>
      </c>
      <c r="C35" s="8">
        <v>2022</v>
      </c>
      <c r="D35" s="8" t="b">
        <f t="shared" si="0"/>
        <v>1</v>
      </c>
      <c r="E35">
        <v>93.83</v>
      </c>
      <c r="G35" t="s">
        <v>33</v>
      </c>
      <c r="H35" t="s">
        <v>45</v>
      </c>
      <c r="J35" s="13">
        <v>76.683181818181822</v>
      </c>
    </row>
    <row r="36" spans="2:10">
      <c r="B36" s="7">
        <v>44609</v>
      </c>
      <c r="C36" s="8">
        <v>2022</v>
      </c>
      <c r="D36" s="8" t="b">
        <f t="shared" si="0"/>
        <v>1</v>
      </c>
      <c r="E36">
        <v>91.78</v>
      </c>
      <c r="G36" t="s">
        <v>33</v>
      </c>
      <c r="H36" t="s">
        <v>46</v>
      </c>
      <c r="J36" s="13">
        <v>70.236000000000004</v>
      </c>
    </row>
    <row r="37" spans="2:10">
      <c r="B37" s="7">
        <v>44610</v>
      </c>
      <c r="C37" s="8">
        <v>2022</v>
      </c>
      <c r="D37" s="8" t="b">
        <f t="shared" si="0"/>
        <v>1</v>
      </c>
      <c r="E37">
        <v>91.26</v>
      </c>
      <c r="G37" t="s">
        <v>33</v>
      </c>
      <c r="H37" t="s">
        <v>47</v>
      </c>
      <c r="J37" s="13">
        <v>71.984999999999999</v>
      </c>
    </row>
    <row r="38" spans="2:10">
      <c r="B38" s="7">
        <v>44613</v>
      </c>
      <c r="C38" s="8">
        <v>2022</v>
      </c>
      <c r="D38" s="8" t="b">
        <f t="shared" si="0"/>
        <v>0</v>
      </c>
      <c r="G38" t="s">
        <v>33</v>
      </c>
      <c r="H38" t="s">
        <v>48</v>
      </c>
      <c r="J38" s="13">
        <v>69.95</v>
      </c>
    </row>
    <row r="39" spans="2:10">
      <c r="B39" s="7">
        <v>44614</v>
      </c>
      <c r="C39" s="8">
        <v>2022</v>
      </c>
      <c r="D39" s="8" t="b">
        <f t="shared" si="0"/>
        <v>1</v>
      </c>
      <c r="E39">
        <v>92.11</v>
      </c>
      <c r="G39" t="s">
        <v>33</v>
      </c>
      <c r="H39" t="s">
        <v>49</v>
      </c>
      <c r="J39" s="13">
        <v>70.118095238095222</v>
      </c>
    </row>
    <row r="40" spans="2:10">
      <c r="B40" s="7">
        <v>44615</v>
      </c>
      <c r="C40" s="8">
        <v>2022</v>
      </c>
      <c r="D40" s="8" t="b">
        <f t="shared" si="0"/>
        <v>1</v>
      </c>
      <c r="E40">
        <v>92.14</v>
      </c>
      <c r="G40" t="s">
        <v>34</v>
      </c>
      <c r="H40" t="s">
        <v>36</v>
      </c>
      <c r="J40" s="13">
        <v>75.742500000000007</v>
      </c>
    </row>
    <row r="41" spans="2:10">
      <c r="B41" s="7">
        <v>44616</v>
      </c>
      <c r="C41" s="8">
        <v>2022</v>
      </c>
      <c r="D41" s="8" t="b">
        <f t="shared" si="0"/>
        <v>1</v>
      </c>
      <c r="E41">
        <v>92.77</v>
      </c>
      <c r="G41" t="s">
        <v>34</v>
      </c>
      <c r="H41" t="s">
        <v>5</v>
      </c>
      <c r="J41" s="13">
        <v>71.533157894736831</v>
      </c>
    </row>
    <row r="42" spans="2:10">
      <c r="B42" s="7">
        <v>44617</v>
      </c>
      <c r="C42" s="8">
        <v>2022</v>
      </c>
      <c r="D42" s="8" t="b">
        <f t="shared" si="0"/>
        <v>1</v>
      </c>
      <c r="E42">
        <v>91.68</v>
      </c>
      <c r="G42" t="s">
        <v>34</v>
      </c>
      <c r="H42" t="s">
        <v>37</v>
      </c>
      <c r="J42" s="13">
        <v>68.239047619047625</v>
      </c>
    </row>
    <row r="43" spans="2:10">
      <c r="B43" s="7">
        <v>44620</v>
      </c>
      <c r="C43" s="8">
        <v>2022</v>
      </c>
      <c r="D43" s="8" t="b">
        <f t="shared" si="0"/>
        <v>1</v>
      </c>
      <c r="E43">
        <v>96.13</v>
      </c>
      <c r="G43" t="s">
        <v>34</v>
      </c>
      <c r="H43" t="s">
        <v>41</v>
      </c>
      <c r="J43" s="13">
        <v>63.536666666666655</v>
      </c>
    </row>
    <row r="44" spans="2:10">
      <c r="B44" s="7">
        <v>44621</v>
      </c>
      <c r="C44" s="8">
        <v>2022</v>
      </c>
      <c r="D44" s="8" t="b">
        <f t="shared" si="0"/>
        <v>1</v>
      </c>
      <c r="E44">
        <v>103.66</v>
      </c>
      <c r="G44" t="s">
        <v>34</v>
      </c>
      <c r="H44" t="s">
        <v>42</v>
      </c>
      <c r="J44" s="13">
        <v>62.167619047619048</v>
      </c>
    </row>
    <row r="45" spans="2:10">
      <c r="B45" s="7">
        <v>44622</v>
      </c>
      <c r="C45" s="8">
        <v>2022</v>
      </c>
      <c r="D45" s="8" t="b">
        <f t="shared" si="0"/>
        <v>1</v>
      </c>
      <c r="E45">
        <v>110.74</v>
      </c>
      <c r="G45" t="s">
        <v>34</v>
      </c>
      <c r="H45" t="s">
        <v>43</v>
      </c>
      <c r="J45" s="13">
        <v>68.169000000000011</v>
      </c>
    </row>
    <row r="46" spans="2:10">
      <c r="B46" s="7">
        <v>44623</v>
      </c>
      <c r="C46" s="8">
        <v>2022</v>
      </c>
      <c r="D46" s="8" t="b">
        <f t="shared" si="0"/>
        <v>1</v>
      </c>
      <c r="E46">
        <v>107.69</v>
      </c>
      <c r="G46" t="s">
        <v>34</v>
      </c>
      <c r="H46" t="s">
        <v>44</v>
      </c>
      <c r="J46" s="13">
        <v>68.390909090909091</v>
      </c>
    </row>
    <row r="47" spans="2:10">
      <c r="B47" s="7">
        <v>44624</v>
      </c>
      <c r="C47" s="8">
        <v>2022</v>
      </c>
      <c r="D47" s="8" t="b">
        <f t="shared" si="0"/>
        <v>1</v>
      </c>
      <c r="E47">
        <v>115.77</v>
      </c>
      <c r="G47" t="s">
        <v>34</v>
      </c>
      <c r="H47" t="s">
        <v>45</v>
      </c>
      <c r="J47" s="13">
        <v>64.864285714285714</v>
      </c>
    </row>
    <row r="48" spans="2:10">
      <c r="B48" s="7">
        <v>44627</v>
      </c>
      <c r="C48" s="8">
        <v>2022</v>
      </c>
      <c r="D48" s="8" t="b">
        <f t="shared" si="0"/>
        <v>1</v>
      </c>
      <c r="E48">
        <v>119.26</v>
      </c>
      <c r="G48" t="s">
        <v>34</v>
      </c>
      <c r="H48" t="s">
        <v>46</v>
      </c>
      <c r="J48" s="13">
        <v>63.959047619047624</v>
      </c>
    </row>
    <row r="49" spans="2:10">
      <c r="B49" s="7">
        <v>44628</v>
      </c>
      <c r="C49" s="8">
        <v>2022</v>
      </c>
      <c r="D49" s="8" t="b">
        <f t="shared" si="0"/>
        <v>1</v>
      </c>
      <c r="E49">
        <v>123.64</v>
      </c>
      <c r="G49" t="s">
        <v>34</v>
      </c>
      <c r="H49" t="s">
        <v>47</v>
      </c>
      <c r="J49" s="13">
        <v>60.894545454545458</v>
      </c>
    </row>
    <row r="50" spans="2:10">
      <c r="B50" s="7">
        <v>44629</v>
      </c>
      <c r="C50" s="8">
        <v>2022</v>
      </c>
      <c r="D50" s="8" t="b">
        <f t="shared" si="0"/>
        <v>1</v>
      </c>
      <c r="E50">
        <v>108.81</v>
      </c>
      <c r="G50" t="s">
        <v>34</v>
      </c>
      <c r="H50" t="s">
        <v>48</v>
      </c>
      <c r="J50" s="13">
        <v>60.062222222222218</v>
      </c>
    </row>
    <row r="51" spans="2:10">
      <c r="B51" s="7">
        <v>44630</v>
      </c>
      <c r="C51" s="8">
        <v>2022</v>
      </c>
      <c r="D51" s="8" t="b">
        <f t="shared" si="0"/>
        <v>1</v>
      </c>
      <c r="E51">
        <v>105.93</v>
      </c>
      <c r="G51" t="s">
        <v>34</v>
      </c>
      <c r="H51" t="s">
        <v>49</v>
      </c>
      <c r="J51" s="13">
        <v>57.972272727272731</v>
      </c>
    </row>
    <row r="52" spans="2:10">
      <c r="B52" s="7">
        <v>44631</v>
      </c>
      <c r="C52" s="8">
        <v>2022</v>
      </c>
      <c r="D52" s="8" t="b">
        <f t="shared" si="0"/>
        <v>1</v>
      </c>
      <c r="E52">
        <v>109.31</v>
      </c>
      <c r="G52" t="s">
        <v>35</v>
      </c>
      <c r="H52" t="s">
        <v>36</v>
      </c>
      <c r="J52" s="13">
        <v>60.036999999999992</v>
      </c>
    </row>
    <row r="53" spans="2:10">
      <c r="B53" s="7">
        <v>44634</v>
      </c>
      <c r="C53" s="8">
        <v>2022</v>
      </c>
      <c r="D53" s="8" t="b">
        <f t="shared" si="0"/>
        <v>1</v>
      </c>
      <c r="E53">
        <v>103.22</v>
      </c>
      <c r="G53" t="s">
        <v>35</v>
      </c>
      <c r="H53" t="s">
        <v>5</v>
      </c>
      <c r="J53" s="13">
        <v>64.508421052631576</v>
      </c>
    </row>
    <row r="54" spans="2:10">
      <c r="B54" s="7">
        <v>44635</v>
      </c>
      <c r="C54" s="8">
        <v>2022</v>
      </c>
      <c r="D54" s="8" t="b">
        <f t="shared" si="0"/>
        <v>1</v>
      </c>
      <c r="E54">
        <v>96.42</v>
      </c>
      <c r="G54" t="s">
        <v>35</v>
      </c>
      <c r="H54" t="s">
        <v>37</v>
      </c>
      <c r="J54" s="13">
        <v>88.797500000000014</v>
      </c>
    </row>
    <row r="55" spans="2:10">
      <c r="B55" s="7">
        <v>44636</v>
      </c>
      <c r="C55" s="8">
        <v>2022</v>
      </c>
      <c r="D55" s="8" t="b">
        <f t="shared" si="0"/>
        <v>1</v>
      </c>
      <c r="E55">
        <v>94.85</v>
      </c>
      <c r="G55" t="s">
        <v>30</v>
      </c>
      <c r="J55" s="13">
        <v>78.213944866920357</v>
      </c>
    </row>
    <row r="56" spans="2:10">
      <c r="B56" s="7">
        <v>44637</v>
      </c>
      <c r="C56" s="8">
        <v>2022</v>
      </c>
      <c r="D56" s="8" t="b">
        <f t="shared" si="0"/>
        <v>1</v>
      </c>
      <c r="E56">
        <v>102.97</v>
      </c>
    </row>
    <row r="57" spans="2:10">
      <c r="B57" s="7">
        <v>44638</v>
      </c>
      <c r="C57" s="8">
        <v>2022</v>
      </c>
      <c r="D57" s="8" t="b">
        <f t="shared" si="0"/>
        <v>1</v>
      </c>
      <c r="E57">
        <v>104.69</v>
      </c>
    </row>
    <row r="58" spans="2:10">
      <c r="B58" s="7">
        <v>44641</v>
      </c>
      <c r="C58" s="8">
        <v>2022</v>
      </c>
      <c r="D58" s="8" t="b">
        <f t="shared" si="0"/>
        <v>1</v>
      </c>
      <c r="E58">
        <v>112.14</v>
      </c>
    </row>
    <row r="59" spans="2:10">
      <c r="B59" s="7">
        <v>44642</v>
      </c>
      <c r="C59" s="8">
        <v>2022</v>
      </c>
      <c r="D59" s="8" t="b">
        <f t="shared" si="0"/>
        <v>1</v>
      </c>
      <c r="E59">
        <v>111.03</v>
      </c>
    </row>
    <row r="60" spans="2:10">
      <c r="B60" s="7">
        <v>44643</v>
      </c>
      <c r="C60" s="8">
        <v>2022</v>
      </c>
      <c r="D60" s="8" t="b">
        <f t="shared" si="0"/>
        <v>1</v>
      </c>
      <c r="E60">
        <v>114.89</v>
      </c>
    </row>
    <row r="61" spans="2:10">
      <c r="B61" s="7">
        <v>44644</v>
      </c>
      <c r="C61" s="8">
        <v>2022</v>
      </c>
      <c r="D61" s="8" t="b">
        <f t="shared" si="0"/>
        <v>1</v>
      </c>
      <c r="E61">
        <v>114.2</v>
      </c>
    </row>
    <row r="62" spans="2:10">
      <c r="B62" s="7">
        <v>44645</v>
      </c>
      <c r="C62" s="8">
        <v>2022</v>
      </c>
      <c r="D62" s="8" t="b">
        <f t="shared" si="0"/>
        <v>1</v>
      </c>
      <c r="E62">
        <v>116.2</v>
      </c>
    </row>
    <row r="63" spans="2:10">
      <c r="B63" s="7">
        <v>44648</v>
      </c>
      <c r="C63" s="8">
        <v>2022</v>
      </c>
      <c r="D63" s="8" t="b">
        <f t="shared" si="0"/>
        <v>1</v>
      </c>
      <c r="E63">
        <v>107.55</v>
      </c>
    </row>
    <row r="64" spans="2:10">
      <c r="B64" s="7">
        <v>44649</v>
      </c>
      <c r="C64" s="8">
        <v>2022</v>
      </c>
      <c r="D64" s="8" t="b">
        <f t="shared" si="0"/>
        <v>1</v>
      </c>
      <c r="E64">
        <v>104.25</v>
      </c>
    </row>
    <row r="65" spans="2:5">
      <c r="B65" s="7">
        <v>44650</v>
      </c>
      <c r="C65" s="8">
        <v>2022</v>
      </c>
      <c r="D65" s="8" t="b">
        <f t="shared" si="0"/>
        <v>1</v>
      </c>
      <c r="E65">
        <v>107.81</v>
      </c>
    </row>
    <row r="66" spans="2:5">
      <c r="B66" s="7">
        <v>44651</v>
      </c>
      <c r="C66" s="8">
        <v>2022</v>
      </c>
      <c r="D66" s="8" t="b">
        <f t="shared" si="0"/>
        <v>1</v>
      </c>
      <c r="E66">
        <v>100.53</v>
      </c>
    </row>
    <row r="67" spans="2:5">
      <c r="B67" s="7">
        <v>44652</v>
      </c>
      <c r="C67" s="8">
        <v>2022</v>
      </c>
      <c r="D67" s="8" t="b">
        <f t="shared" si="0"/>
        <v>1</v>
      </c>
      <c r="E67">
        <v>99.32</v>
      </c>
    </row>
    <row r="68" spans="2:5">
      <c r="B68" s="7">
        <v>44655</v>
      </c>
      <c r="C68" s="8">
        <v>2022</v>
      </c>
      <c r="D68" s="8" t="b">
        <f t="shared" ref="D68:D131" si="1">ISNUMBER(E68)</f>
        <v>1</v>
      </c>
      <c r="E68">
        <v>103.29</v>
      </c>
    </row>
    <row r="69" spans="2:5">
      <c r="B69" s="7">
        <v>44656</v>
      </c>
      <c r="C69" s="8">
        <v>2022</v>
      </c>
      <c r="D69" s="8" t="b">
        <f t="shared" si="1"/>
        <v>1</v>
      </c>
      <c r="E69">
        <v>101.98</v>
      </c>
    </row>
    <row r="70" spans="2:5">
      <c r="B70" s="7">
        <v>44657</v>
      </c>
      <c r="C70" s="8">
        <v>2022</v>
      </c>
      <c r="D70" s="8" t="b">
        <f t="shared" si="1"/>
        <v>1</v>
      </c>
      <c r="E70">
        <v>96.39</v>
      </c>
    </row>
    <row r="71" spans="2:5">
      <c r="B71" s="7">
        <v>44658</v>
      </c>
      <c r="C71" s="8">
        <v>2022</v>
      </c>
      <c r="D71" s="8" t="b">
        <f t="shared" si="1"/>
        <v>1</v>
      </c>
      <c r="E71">
        <v>96.05</v>
      </c>
    </row>
    <row r="72" spans="2:5">
      <c r="B72" s="7">
        <v>44659</v>
      </c>
      <c r="C72" s="8">
        <v>2022</v>
      </c>
      <c r="D72" s="8" t="b">
        <f t="shared" si="1"/>
        <v>1</v>
      </c>
      <c r="E72">
        <v>98.35</v>
      </c>
    </row>
    <row r="73" spans="2:5">
      <c r="B73" s="7">
        <v>44662</v>
      </c>
      <c r="C73" s="8">
        <v>2022</v>
      </c>
      <c r="D73" s="8" t="b">
        <f t="shared" si="1"/>
        <v>1</v>
      </c>
      <c r="E73">
        <v>94.22</v>
      </c>
    </row>
    <row r="74" spans="2:5">
      <c r="B74" s="7">
        <v>44663</v>
      </c>
      <c r="C74" s="8">
        <v>2022</v>
      </c>
      <c r="D74" s="8" t="b">
        <f t="shared" si="1"/>
        <v>1</v>
      </c>
      <c r="E74">
        <v>100.52</v>
      </c>
    </row>
    <row r="75" spans="2:5">
      <c r="B75" s="7">
        <v>44664</v>
      </c>
      <c r="C75" s="8">
        <v>2022</v>
      </c>
      <c r="D75" s="8" t="b">
        <f t="shared" si="1"/>
        <v>1</v>
      </c>
      <c r="E75">
        <v>104.26</v>
      </c>
    </row>
    <row r="76" spans="2:5">
      <c r="B76" s="7">
        <v>44665</v>
      </c>
      <c r="C76" s="8">
        <v>2022</v>
      </c>
      <c r="D76" s="8" t="b">
        <f t="shared" si="1"/>
        <v>1</v>
      </c>
      <c r="E76">
        <v>106.84</v>
      </c>
    </row>
    <row r="77" spans="2:5">
      <c r="B77" s="7">
        <v>44669</v>
      </c>
      <c r="C77" s="8">
        <v>2022</v>
      </c>
      <c r="D77" s="8" t="b">
        <f t="shared" si="1"/>
        <v>1</v>
      </c>
      <c r="E77">
        <v>108.24</v>
      </c>
    </row>
    <row r="78" spans="2:5">
      <c r="B78" s="7">
        <v>44670</v>
      </c>
      <c r="C78" s="8">
        <v>2022</v>
      </c>
      <c r="D78" s="8" t="b">
        <f t="shared" si="1"/>
        <v>1</v>
      </c>
      <c r="E78">
        <v>102.54</v>
      </c>
    </row>
    <row r="79" spans="2:5">
      <c r="B79" s="7">
        <v>44671</v>
      </c>
      <c r="C79" s="8">
        <v>2022</v>
      </c>
      <c r="D79" s="8" t="b">
        <f t="shared" si="1"/>
        <v>1</v>
      </c>
      <c r="E79">
        <v>102.56</v>
      </c>
    </row>
    <row r="80" spans="2:5">
      <c r="B80" s="7">
        <v>44672</v>
      </c>
      <c r="C80" s="8">
        <v>2022</v>
      </c>
      <c r="D80" s="8" t="b">
        <f t="shared" si="1"/>
        <v>1</v>
      </c>
      <c r="E80">
        <v>103.89</v>
      </c>
    </row>
    <row r="81" spans="2:5">
      <c r="B81" s="7">
        <v>44673</v>
      </c>
      <c r="C81" s="8">
        <v>2022</v>
      </c>
      <c r="D81" s="8" t="b">
        <f t="shared" si="1"/>
        <v>1</v>
      </c>
      <c r="E81">
        <v>102.86</v>
      </c>
    </row>
    <row r="82" spans="2:5">
      <c r="B82" s="7">
        <v>44676</v>
      </c>
      <c r="C82" s="8">
        <v>2022</v>
      </c>
      <c r="D82" s="8" t="b">
        <f t="shared" si="1"/>
        <v>1</v>
      </c>
      <c r="E82">
        <v>99.6</v>
      </c>
    </row>
    <row r="83" spans="2:5">
      <c r="B83" s="7">
        <v>44677</v>
      </c>
      <c r="C83" s="8">
        <v>2022</v>
      </c>
      <c r="D83" s="8" t="b">
        <f t="shared" si="1"/>
        <v>1</v>
      </c>
      <c r="E83">
        <v>102.62</v>
      </c>
    </row>
    <row r="84" spans="2:5">
      <c r="B84" s="7">
        <v>44678</v>
      </c>
      <c r="C84" s="8">
        <v>2022</v>
      </c>
      <c r="D84" s="8" t="b">
        <f t="shared" si="1"/>
        <v>1</v>
      </c>
      <c r="E84">
        <v>101.96</v>
      </c>
    </row>
    <row r="85" spans="2:5">
      <c r="B85" s="7">
        <v>44679</v>
      </c>
      <c r="C85" s="8">
        <v>2022</v>
      </c>
      <c r="D85" s="8" t="b">
        <f t="shared" si="1"/>
        <v>1</v>
      </c>
      <c r="E85">
        <v>105.47</v>
      </c>
    </row>
    <row r="86" spans="2:5">
      <c r="B86" s="7">
        <v>44680</v>
      </c>
      <c r="C86" s="8">
        <v>2022</v>
      </c>
      <c r="D86" s="8" t="b">
        <f t="shared" si="1"/>
        <v>1</v>
      </c>
      <c r="E86">
        <v>104.59</v>
      </c>
    </row>
    <row r="87" spans="2:5">
      <c r="B87" s="7">
        <v>44683</v>
      </c>
      <c r="C87" s="8">
        <v>2022</v>
      </c>
      <c r="D87" s="8" t="b">
        <f t="shared" si="1"/>
        <v>1</v>
      </c>
      <c r="E87">
        <v>105.18</v>
      </c>
    </row>
    <row r="88" spans="2:5">
      <c r="B88" s="7">
        <v>44684</v>
      </c>
      <c r="C88" s="8">
        <v>2022</v>
      </c>
      <c r="D88" s="8" t="b">
        <f t="shared" si="1"/>
        <v>1</v>
      </c>
      <c r="E88">
        <v>102.53</v>
      </c>
    </row>
    <row r="89" spans="2:5">
      <c r="B89" s="7">
        <v>44685</v>
      </c>
      <c r="C89" s="8">
        <v>2022</v>
      </c>
      <c r="D89" s="8" t="b">
        <f t="shared" si="1"/>
        <v>1</v>
      </c>
      <c r="E89">
        <v>107.84</v>
      </c>
    </row>
    <row r="90" spans="2:5">
      <c r="B90" s="7">
        <v>44686</v>
      </c>
      <c r="C90" s="8">
        <v>2022</v>
      </c>
      <c r="D90" s="8" t="b">
        <f t="shared" si="1"/>
        <v>1</v>
      </c>
      <c r="E90">
        <v>108.17</v>
      </c>
    </row>
    <row r="91" spans="2:5">
      <c r="B91" s="7">
        <v>44687</v>
      </c>
      <c r="C91" s="8">
        <v>2022</v>
      </c>
      <c r="D91" s="8" t="b">
        <f t="shared" si="1"/>
        <v>1</v>
      </c>
      <c r="E91">
        <v>109.72</v>
      </c>
    </row>
    <row r="92" spans="2:5">
      <c r="B92" s="7">
        <v>44690</v>
      </c>
      <c r="C92" s="8">
        <v>2022</v>
      </c>
      <c r="D92" s="8" t="b">
        <f t="shared" si="1"/>
        <v>1</v>
      </c>
      <c r="E92">
        <v>103.08</v>
      </c>
    </row>
    <row r="93" spans="2:5">
      <c r="B93" s="7">
        <v>44691</v>
      </c>
      <c r="C93" s="8">
        <v>2022</v>
      </c>
      <c r="D93" s="8" t="b">
        <f t="shared" si="1"/>
        <v>1</v>
      </c>
      <c r="E93">
        <v>99.74</v>
      </c>
    </row>
    <row r="94" spans="2:5">
      <c r="B94" s="7">
        <v>44692</v>
      </c>
      <c r="C94" s="8">
        <v>2022</v>
      </c>
      <c r="D94" s="8" t="b">
        <f t="shared" si="1"/>
        <v>1</v>
      </c>
      <c r="E94">
        <v>105.5</v>
      </c>
    </row>
    <row r="95" spans="2:5">
      <c r="B95" s="7">
        <v>44693</v>
      </c>
      <c r="C95" s="8">
        <v>2022</v>
      </c>
      <c r="D95" s="8" t="b">
        <f t="shared" si="1"/>
        <v>1</v>
      </c>
      <c r="E95">
        <v>106.15</v>
      </c>
    </row>
    <row r="96" spans="2:5">
      <c r="B96" s="7">
        <v>44694</v>
      </c>
      <c r="C96" s="8">
        <v>2022</v>
      </c>
      <c r="D96" s="8" t="b">
        <f t="shared" si="1"/>
        <v>1</v>
      </c>
      <c r="E96">
        <v>110.52</v>
      </c>
    </row>
    <row r="97" spans="2:5">
      <c r="B97" s="7">
        <v>44697</v>
      </c>
      <c r="C97" s="8">
        <v>2022</v>
      </c>
      <c r="D97" s="8" t="b">
        <f t="shared" si="1"/>
        <v>1</v>
      </c>
      <c r="E97">
        <v>114.07</v>
      </c>
    </row>
    <row r="98" spans="2:5">
      <c r="B98" s="7">
        <v>44698</v>
      </c>
      <c r="C98" s="8">
        <v>2022</v>
      </c>
      <c r="D98" s="8" t="b">
        <f t="shared" si="1"/>
        <v>1</v>
      </c>
      <c r="E98">
        <v>112.31</v>
      </c>
    </row>
    <row r="99" spans="2:5">
      <c r="B99" s="7">
        <v>44699</v>
      </c>
      <c r="C99" s="8">
        <v>2022</v>
      </c>
      <c r="D99" s="8" t="b">
        <f t="shared" si="1"/>
        <v>1</v>
      </c>
      <c r="E99">
        <v>109.67</v>
      </c>
    </row>
    <row r="100" spans="2:5">
      <c r="B100" s="7">
        <v>44700</v>
      </c>
      <c r="C100" s="8">
        <v>2022</v>
      </c>
      <c r="D100" s="8" t="b">
        <f t="shared" si="1"/>
        <v>1</v>
      </c>
      <c r="E100">
        <v>112.21</v>
      </c>
    </row>
    <row r="101" spans="2:5">
      <c r="B101" s="7">
        <v>44701</v>
      </c>
      <c r="C101" s="8">
        <v>2022</v>
      </c>
      <c r="D101" s="8" t="b">
        <f t="shared" si="1"/>
        <v>1</v>
      </c>
      <c r="E101">
        <v>112.63</v>
      </c>
    </row>
    <row r="102" spans="2:5">
      <c r="B102" s="7">
        <v>44704</v>
      </c>
      <c r="C102" s="8">
        <v>2022</v>
      </c>
      <c r="D102" s="8" t="b">
        <f t="shared" si="1"/>
        <v>1</v>
      </c>
      <c r="E102">
        <v>110.32</v>
      </c>
    </row>
    <row r="103" spans="2:5">
      <c r="B103" s="7">
        <v>44705</v>
      </c>
      <c r="C103" s="8">
        <v>2022</v>
      </c>
      <c r="D103" s="8" t="b">
        <f t="shared" si="1"/>
        <v>1</v>
      </c>
      <c r="E103">
        <v>112.55</v>
      </c>
    </row>
    <row r="104" spans="2:5">
      <c r="B104" s="7">
        <v>44706</v>
      </c>
      <c r="C104" s="8">
        <v>2022</v>
      </c>
      <c r="D104" s="8" t="b">
        <f t="shared" si="1"/>
        <v>1</v>
      </c>
      <c r="E104">
        <v>112.88</v>
      </c>
    </row>
    <row r="105" spans="2:5">
      <c r="B105" s="7">
        <v>44707</v>
      </c>
      <c r="C105" s="8">
        <v>2022</v>
      </c>
      <c r="D105" s="8" t="b">
        <f t="shared" si="1"/>
        <v>1</v>
      </c>
      <c r="E105">
        <v>116.19</v>
      </c>
    </row>
    <row r="106" spans="2:5">
      <c r="B106" s="7">
        <v>44708</v>
      </c>
      <c r="C106" s="8">
        <v>2022</v>
      </c>
      <c r="D106" s="8" t="b">
        <f t="shared" si="1"/>
        <v>1</v>
      </c>
      <c r="E106">
        <v>114.96</v>
      </c>
    </row>
    <row r="107" spans="2:5">
      <c r="B107" s="7">
        <v>44711</v>
      </c>
      <c r="C107" s="8">
        <v>2022</v>
      </c>
      <c r="D107" s="8" t="b">
        <f t="shared" si="1"/>
        <v>0</v>
      </c>
    </row>
    <row r="108" spans="2:5">
      <c r="B108" s="7">
        <v>44712</v>
      </c>
      <c r="C108" s="8">
        <v>2022</v>
      </c>
      <c r="D108" s="8" t="b">
        <f t="shared" si="1"/>
        <v>1</v>
      </c>
      <c r="E108">
        <v>114.38</v>
      </c>
    </row>
    <row r="109" spans="2:5">
      <c r="B109" s="7">
        <v>44713</v>
      </c>
      <c r="C109" s="8">
        <v>2022</v>
      </c>
      <c r="D109" s="8" t="b">
        <f t="shared" si="1"/>
        <v>1</v>
      </c>
      <c r="E109">
        <v>115.26</v>
      </c>
    </row>
    <row r="110" spans="2:5">
      <c r="B110" s="7">
        <v>44714</v>
      </c>
      <c r="C110" s="8">
        <v>2022</v>
      </c>
      <c r="D110" s="8" t="b">
        <f t="shared" si="1"/>
        <v>1</v>
      </c>
      <c r="E110">
        <v>116.88</v>
      </c>
    </row>
    <row r="111" spans="2:5">
      <c r="B111" s="7">
        <v>44715</v>
      </c>
      <c r="C111" s="8">
        <v>2022</v>
      </c>
      <c r="D111" s="8" t="b">
        <f t="shared" si="1"/>
        <v>1</v>
      </c>
      <c r="E111">
        <v>118.97</v>
      </c>
    </row>
    <row r="112" spans="2:5">
      <c r="B112" s="7">
        <v>44718</v>
      </c>
      <c r="C112" s="8">
        <v>2022</v>
      </c>
      <c r="D112" s="8" t="b">
        <f t="shared" si="1"/>
        <v>1</v>
      </c>
      <c r="E112">
        <v>118.41</v>
      </c>
    </row>
    <row r="113" spans="2:5">
      <c r="B113" s="7">
        <v>44719</v>
      </c>
      <c r="C113" s="8">
        <v>2022</v>
      </c>
      <c r="D113" s="8" t="b">
        <f t="shared" si="1"/>
        <v>1</v>
      </c>
      <c r="E113">
        <v>119.55</v>
      </c>
    </row>
    <row r="114" spans="2:5">
      <c r="B114" s="7">
        <v>44720</v>
      </c>
      <c r="C114" s="8">
        <v>2022</v>
      </c>
      <c r="D114" s="8" t="b">
        <f t="shared" si="1"/>
        <v>1</v>
      </c>
      <c r="E114">
        <v>121.94</v>
      </c>
    </row>
    <row r="115" spans="2:5">
      <c r="B115" s="7">
        <v>44721</v>
      </c>
      <c r="C115" s="8">
        <v>2022</v>
      </c>
      <c r="D115" s="8" t="b">
        <f t="shared" si="1"/>
        <v>1</v>
      </c>
      <c r="E115">
        <v>121.52</v>
      </c>
    </row>
    <row r="116" spans="2:5">
      <c r="B116" s="7">
        <v>44722</v>
      </c>
      <c r="C116" s="8">
        <v>2022</v>
      </c>
      <c r="D116" s="8" t="b">
        <f t="shared" si="1"/>
        <v>1</v>
      </c>
      <c r="E116">
        <v>120.73</v>
      </c>
    </row>
    <row r="117" spans="2:5">
      <c r="B117" s="7">
        <v>44725</v>
      </c>
      <c r="C117" s="8">
        <v>2022</v>
      </c>
      <c r="D117" s="8" t="b">
        <f t="shared" si="1"/>
        <v>1</v>
      </c>
      <c r="E117">
        <v>120.92</v>
      </c>
    </row>
    <row r="118" spans="2:5">
      <c r="B118" s="7">
        <v>44726</v>
      </c>
      <c r="C118" s="8">
        <v>2022</v>
      </c>
      <c r="D118" s="8" t="b">
        <f t="shared" si="1"/>
        <v>1</v>
      </c>
      <c r="E118">
        <v>118.92</v>
      </c>
    </row>
    <row r="119" spans="2:5">
      <c r="B119" s="7">
        <v>44727</v>
      </c>
      <c r="C119" s="8">
        <v>2022</v>
      </c>
      <c r="D119" s="8" t="b">
        <f t="shared" si="1"/>
        <v>1</v>
      </c>
      <c r="E119">
        <v>115.32</v>
      </c>
    </row>
    <row r="120" spans="2:5">
      <c r="B120" s="7">
        <v>44728</v>
      </c>
      <c r="C120" s="8">
        <v>2022</v>
      </c>
      <c r="D120" s="8" t="b">
        <f t="shared" si="1"/>
        <v>1</v>
      </c>
      <c r="E120">
        <v>117.56</v>
      </c>
    </row>
    <row r="121" spans="2:5">
      <c r="B121" s="7">
        <v>44729</v>
      </c>
      <c r="C121" s="8">
        <v>2022</v>
      </c>
      <c r="D121" s="8" t="b">
        <f t="shared" si="1"/>
        <v>1</v>
      </c>
      <c r="E121">
        <v>109.56</v>
      </c>
    </row>
    <row r="122" spans="2:5">
      <c r="B122" s="7">
        <v>44732</v>
      </c>
      <c r="C122" s="8">
        <v>2022</v>
      </c>
      <c r="D122" s="8" t="b">
        <f t="shared" si="1"/>
        <v>0</v>
      </c>
    </row>
    <row r="123" spans="2:5">
      <c r="B123" s="7">
        <v>44733</v>
      </c>
      <c r="C123" s="8">
        <v>2022</v>
      </c>
      <c r="D123" s="8" t="b">
        <f t="shared" si="1"/>
        <v>1</v>
      </c>
      <c r="E123">
        <v>110.49</v>
      </c>
    </row>
    <row r="124" spans="2:5">
      <c r="B124" s="7">
        <v>44734</v>
      </c>
      <c r="C124" s="8">
        <v>2022</v>
      </c>
      <c r="D124" s="8" t="b">
        <f t="shared" si="1"/>
        <v>1</v>
      </c>
      <c r="E124">
        <v>106.22</v>
      </c>
    </row>
    <row r="125" spans="2:5">
      <c r="B125" s="7">
        <v>44735</v>
      </c>
      <c r="C125" s="8">
        <v>2022</v>
      </c>
      <c r="D125" s="8" t="b">
        <f t="shared" si="1"/>
        <v>1</v>
      </c>
      <c r="E125">
        <v>105.75</v>
      </c>
    </row>
    <row r="126" spans="2:5">
      <c r="B126" s="7">
        <v>44736</v>
      </c>
      <c r="C126" s="8">
        <v>2022</v>
      </c>
      <c r="D126" s="8" t="b">
        <f t="shared" si="1"/>
        <v>1</v>
      </c>
      <c r="E126">
        <v>109.07</v>
      </c>
    </row>
    <row r="127" spans="2:5">
      <c r="B127" s="7">
        <v>44739</v>
      </c>
      <c r="C127" s="8">
        <v>2022</v>
      </c>
      <c r="D127" s="8" t="b">
        <f t="shared" si="1"/>
        <v>1</v>
      </c>
      <c r="E127">
        <v>111.44</v>
      </c>
    </row>
    <row r="128" spans="2:5">
      <c r="B128" s="7">
        <v>44740</v>
      </c>
      <c r="C128" s="8">
        <v>2022</v>
      </c>
      <c r="D128" s="8" t="b">
        <f t="shared" si="1"/>
        <v>1</v>
      </c>
      <c r="E128">
        <v>113.66</v>
      </c>
    </row>
    <row r="129" spans="2:5">
      <c r="B129" s="7">
        <v>44741</v>
      </c>
      <c r="C129" s="8">
        <v>2022</v>
      </c>
      <c r="D129" s="8" t="b">
        <f t="shared" si="1"/>
        <v>1</v>
      </c>
      <c r="E129">
        <v>111.65</v>
      </c>
    </row>
    <row r="130" spans="2:5">
      <c r="B130" s="7">
        <v>44742</v>
      </c>
      <c r="C130" s="8">
        <v>2022</v>
      </c>
      <c r="D130" s="8" t="b">
        <f t="shared" si="1"/>
        <v>1</v>
      </c>
      <c r="E130">
        <v>107.76</v>
      </c>
    </row>
    <row r="131" spans="2:5">
      <c r="B131" s="7">
        <v>44743</v>
      </c>
      <c r="C131" s="8">
        <v>2022</v>
      </c>
      <c r="D131" s="8" t="b">
        <f t="shared" si="1"/>
        <v>1</v>
      </c>
      <c r="E131">
        <v>110.3</v>
      </c>
    </row>
    <row r="132" spans="2:5">
      <c r="B132" s="7">
        <v>44746</v>
      </c>
      <c r="C132" s="8">
        <v>2022</v>
      </c>
      <c r="D132" s="8" t="b">
        <f t="shared" ref="D132:D195" si="2">ISNUMBER(E132)</f>
        <v>0</v>
      </c>
    </row>
    <row r="133" spans="2:5">
      <c r="B133" s="7">
        <v>44747</v>
      </c>
      <c r="C133" s="8">
        <v>2022</v>
      </c>
      <c r="D133" s="8" t="b">
        <f t="shared" si="2"/>
        <v>1</v>
      </c>
      <c r="E133">
        <v>101.55</v>
      </c>
    </row>
    <row r="134" spans="2:5">
      <c r="B134" s="7">
        <v>44748</v>
      </c>
      <c r="C134" s="8">
        <v>2022</v>
      </c>
      <c r="D134" s="8" t="b">
        <f t="shared" si="2"/>
        <v>1</v>
      </c>
      <c r="E134">
        <v>100.31</v>
      </c>
    </row>
    <row r="135" spans="2:5">
      <c r="B135" s="7">
        <v>44749</v>
      </c>
      <c r="C135" s="8">
        <v>2022</v>
      </c>
      <c r="D135" s="8" t="b">
        <f t="shared" si="2"/>
        <v>1</v>
      </c>
      <c r="E135">
        <v>104.62</v>
      </c>
    </row>
    <row r="136" spans="2:5">
      <c r="B136" s="7">
        <v>44750</v>
      </c>
      <c r="C136" s="8">
        <v>2022</v>
      </c>
      <c r="D136" s="8" t="b">
        <f t="shared" si="2"/>
        <v>1</v>
      </c>
      <c r="E136">
        <v>106.78</v>
      </c>
    </row>
    <row r="137" spans="2:5">
      <c r="B137" s="7">
        <v>44753</v>
      </c>
      <c r="C137" s="8">
        <v>2022</v>
      </c>
      <c r="D137" s="8" t="b">
        <f t="shared" si="2"/>
        <v>1</v>
      </c>
      <c r="E137">
        <v>106.09</v>
      </c>
    </row>
    <row r="138" spans="2:5">
      <c r="B138" s="7">
        <v>44754</v>
      </c>
      <c r="C138" s="8">
        <v>2022</v>
      </c>
      <c r="D138" s="8" t="b">
        <f t="shared" si="2"/>
        <v>1</v>
      </c>
      <c r="E138">
        <v>97.69</v>
      </c>
    </row>
    <row r="139" spans="2:5">
      <c r="B139" s="7">
        <v>44755</v>
      </c>
      <c r="C139" s="8">
        <v>2022</v>
      </c>
      <c r="D139" s="8" t="b">
        <f t="shared" si="2"/>
        <v>1</v>
      </c>
      <c r="E139">
        <v>98.44</v>
      </c>
    </row>
    <row r="140" spans="2:5">
      <c r="B140" s="7">
        <v>44756</v>
      </c>
      <c r="C140" s="8">
        <v>2022</v>
      </c>
      <c r="D140" s="8" t="b">
        <f t="shared" si="2"/>
        <v>1</v>
      </c>
      <c r="E140">
        <v>97.79</v>
      </c>
    </row>
    <row r="141" spans="2:5">
      <c r="B141" s="7">
        <v>44757</v>
      </c>
      <c r="C141" s="8">
        <v>2022</v>
      </c>
      <c r="D141" s="8" t="b">
        <f t="shared" si="2"/>
        <v>1</v>
      </c>
      <c r="E141">
        <v>99.59</v>
      </c>
    </row>
    <row r="142" spans="2:5">
      <c r="B142" s="7">
        <v>44760</v>
      </c>
      <c r="C142" s="8">
        <v>2022</v>
      </c>
      <c r="D142" s="8" t="b">
        <f t="shared" si="2"/>
        <v>1</v>
      </c>
      <c r="E142">
        <v>104.48</v>
      </c>
    </row>
    <row r="143" spans="2:5">
      <c r="B143" s="7">
        <v>44761</v>
      </c>
      <c r="C143" s="8">
        <v>2022</v>
      </c>
      <c r="D143" s="8" t="b">
        <f t="shared" si="2"/>
        <v>1</v>
      </c>
      <c r="E143">
        <v>106.12</v>
      </c>
    </row>
    <row r="144" spans="2:5">
      <c r="B144" s="7">
        <v>44762</v>
      </c>
      <c r="C144" s="8">
        <v>2022</v>
      </c>
      <c r="D144" s="8" t="b">
        <f t="shared" si="2"/>
        <v>1</v>
      </c>
      <c r="E144">
        <v>104.45</v>
      </c>
    </row>
    <row r="145" spans="2:5">
      <c r="B145" s="7">
        <v>44763</v>
      </c>
      <c r="C145" s="8">
        <v>2022</v>
      </c>
      <c r="D145" s="8" t="b">
        <f t="shared" si="2"/>
        <v>1</v>
      </c>
      <c r="E145">
        <v>98.44</v>
      </c>
    </row>
    <row r="146" spans="2:5">
      <c r="B146" s="7">
        <v>44764</v>
      </c>
      <c r="C146" s="8">
        <v>2022</v>
      </c>
      <c r="D146" s="8" t="b">
        <f t="shared" si="2"/>
        <v>1</v>
      </c>
      <c r="E146">
        <v>97.71</v>
      </c>
    </row>
    <row r="147" spans="2:5">
      <c r="B147" s="7">
        <v>44767</v>
      </c>
      <c r="C147" s="8">
        <v>2022</v>
      </c>
      <c r="D147" s="8" t="b">
        <f t="shared" si="2"/>
        <v>1</v>
      </c>
      <c r="E147">
        <v>99.83</v>
      </c>
    </row>
    <row r="148" spans="2:5">
      <c r="B148" s="7">
        <v>44768</v>
      </c>
      <c r="C148" s="8">
        <v>2022</v>
      </c>
      <c r="D148" s="8" t="b">
        <f t="shared" si="2"/>
        <v>1</v>
      </c>
      <c r="E148">
        <v>97.74</v>
      </c>
    </row>
    <row r="149" spans="2:5">
      <c r="B149" s="7">
        <v>44769</v>
      </c>
      <c r="C149" s="8">
        <v>2022</v>
      </c>
      <c r="D149" s="8" t="b">
        <f t="shared" si="2"/>
        <v>1</v>
      </c>
      <c r="E149">
        <v>100.03</v>
      </c>
    </row>
    <row r="150" spans="2:5">
      <c r="B150" s="7">
        <v>44770</v>
      </c>
      <c r="C150" s="8">
        <v>2022</v>
      </c>
      <c r="D150" s="8" t="b">
        <f t="shared" si="2"/>
        <v>1</v>
      </c>
      <c r="E150">
        <v>99.11</v>
      </c>
    </row>
    <row r="151" spans="2:5">
      <c r="B151" s="7">
        <v>44771</v>
      </c>
      <c r="C151" s="8">
        <v>2022</v>
      </c>
      <c r="D151" s="8" t="b">
        <f t="shared" si="2"/>
        <v>1</v>
      </c>
      <c r="E151">
        <v>101.31</v>
      </c>
    </row>
    <row r="152" spans="2:5">
      <c r="B152" s="7">
        <v>44774</v>
      </c>
      <c r="C152" s="8">
        <v>2022</v>
      </c>
      <c r="D152" s="8" t="b">
        <f t="shared" si="2"/>
        <v>1</v>
      </c>
      <c r="E152">
        <v>96.59</v>
      </c>
    </row>
    <row r="153" spans="2:5">
      <c r="B153" s="7">
        <v>44775</v>
      </c>
      <c r="C153" s="8">
        <v>2022</v>
      </c>
      <c r="D153" s="8" t="b">
        <f t="shared" si="2"/>
        <v>1</v>
      </c>
      <c r="E153">
        <v>97.14</v>
      </c>
    </row>
    <row r="154" spans="2:5">
      <c r="B154" s="7">
        <v>44776</v>
      </c>
      <c r="C154" s="8">
        <v>2022</v>
      </c>
      <c r="D154" s="8" t="b">
        <f t="shared" si="2"/>
        <v>1</v>
      </c>
      <c r="E154">
        <v>93.25</v>
      </c>
    </row>
    <row r="155" spans="2:5">
      <c r="B155" s="7">
        <v>44777</v>
      </c>
      <c r="C155" s="8">
        <v>2022</v>
      </c>
      <c r="D155" s="8" t="b">
        <f t="shared" si="2"/>
        <v>1</v>
      </c>
      <c r="E155">
        <v>91.29</v>
      </c>
    </row>
    <row r="156" spans="2:5">
      <c r="B156" s="7">
        <v>44778</v>
      </c>
      <c r="C156" s="8">
        <v>2022</v>
      </c>
      <c r="D156" s="8" t="b">
        <f t="shared" si="2"/>
        <v>1</v>
      </c>
      <c r="E156">
        <v>91.77</v>
      </c>
    </row>
    <row r="157" spans="2:5">
      <c r="B157" s="7">
        <v>44781</v>
      </c>
      <c r="C157" s="8">
        <v>2022</v>
      </c>
      <c r="D157" s="8" t="b">
        <f t="shared" si="2"/>
        <v>1</v>
      </c>
      <c r="E157">
        <v>93.52</v>
      </c>
    </row>
    <row r="158" spans="2:5">
      <c r="B158" s="7">
        <v>44782</v>
      </c>
      <c r="C158" s="8">
        <v>2022</v>
      </c>
      <c r="D158" s="8" t="b">
        <f t="shared" si="2"/>
        <v>1</v>
      </c>
      <c r="E158">
        <v>93.18</v>
      </c>
    </row>
    <row r="159" spans="2:5">
      <c r="B159" s="7">
        <v>44783</v>
      </c>
      <c r="C159" s="8">
        <v>2022</v>
      </c>
      <c r="D159" s="8" t="b">
        <f t="shared" si="2"/>
        <v>1</v>
      </c>
      <c r="E159">
        <v>94.68</v>
      </c>
    </row>
    <row r="160" spans="2:5">
      <c r="B160" s="7">
        <v>44784</v>
      </c>
      <c r="C160" s="8">
        <v>2022</v>
      </c>
      <c r="D160" s="8" t="b">
        <f t="shared" si="2"/>
        <v>1</v>
      </c>
      <c r="E160">
        <v>97.02</v>
      </c>
    </row>
    <row r="161" spans="2:5">
      <c r="B161" s="7">
        <v>44785</v>
      </c>
      <c r="C161" s="8">
        <v>2022</v>
      </c>
      <c r="D161" s="8" t="b">
        <f t="shared" si="2"/>
        <v>1</v>
      </c>
      <c r="E161">
        <v>94.86</v>
      </c>
    </row>
    <row r="162" spans="2:5">
      <c r="B162" s="7">
        <v>44788</v>
      </c>
      <c r="C162" s="8">
        <v>2022</v>
      </c>
      <c r="D162" s="8" t="b">
        <f t="shared" si="2"/>
        <v>1</v>
      </c>
      <c r="E162">
        <v>92.24</v>
      </c>
    </row>
    <row r="163" spans="2:5">
      <c r="B163" s="7">
        <v>44789</v>
      </c>
      <c r="C163" s="8">
        <v>2022</v>
      </c>
      <c r="D163" s="8" t="b">
        <f t="shared" si="2"/>
        <v>1</v>
      </c>
      <c r="E163">
        <v>89.23</v>
      </c>
    </row>
    <row r="164" spans="2:5">
      <c r="B164" s="7">
        <v>44790</v>
      </c>
      <c r="C164" s="8">
        <v>2022</v>
      </c>
      <c r="D164" s="8" t="b">
        <f t="shared" si="2"/>
        <v>1</v>
      </c>
      <c r="E164">
        <v>90.85</v>
      </c>
    </row>
    <row r="165" spans="2:5">
      <c r="B165" s="7">
        <v>44791</v>
      </c>
      <c r="C165" s="8">
        <v>2022</v>
      </c>
      <c r="D165" s="8" t="b">
        <f t="shared" si="2"/>
        <v>1</v>
      </c>
      <c r="E165">
        <v>93.2</v>
      </c>
    </row>
    <row r="166" spans="2:5">
      <c r="B166" s="7">
        <v>44792</v>
      </c>
      <c r="C166" s="8">
        <v>2022</v>
      </c>
      <c r="D166" s="8" t="b">
        <f t="shared" si="2"/>
        <v>1</v>
      </c>
      <c r="E166">
        <v>93.55</v>
      </c>
    </row>
    <row r="167" spans="2:5">
      <c r="B167" s="7">
        <v>44795</v>
      </c>
      <c r="C167" s="8">
        <v>2022</v>
      </c>
      <c r="D167" s="8" t="b">
        <f t="shared" si="2"/>
        <v>1</v>
      </c>
      <c r="E167">
        <v>93.42</v>
      </c>
    </row>
    <row r="168" spans="2:5">
      <c r="B168" s="7">
        <v>44796</v>
      </c>
      <c r="C168" s="8">
        <v>2022</v>
      </c>
      <c r="D168" s="8" t="b">
        <f t="shared" si="2"/>
        <v>1</v>
      </c>
      <c r="E168">
        <v>96.46</v>
      </c>
    </row>
    <row r="169" spans="2:5">
      <c r="B169" s="7">
        <v>44797</v>
      </c>
      <c r="C169" s="8">
        <v>2022</v>
      </c>
      <c r="D169" s="8" t="b">
        <f t="shared" si="2"/>
        <v>1</v>
      </c>
      <c r="E169">
        <v>95.52</v>
      </c>
    </row>
    <row r="170" spans="2:5">
      <c r="B170" s="7">
        <v>44798</v>
      </c>
      <c r="C170" s="8">
        <v>2022</v>
      </c>
      <c r="D170" s="8" t="b">
        <f t="shared" si="2"/>
        <v>1</v>
      </c>
      <c r="E170">
        <v>93.33</v>
      </c>
    </row>
    <row r="171" spans="2:5">
      <c r="B171" s="7">
        <v>44799</v>
      </c>
      <c r="C171" s="8">
        <v>2022</v>
      </c>
      <c r="D171" s="8" t="b">
        <f t="shared" si="2"/>
        <v>1</v>
      </c>
      <c r="E171">
        <v>93.63</v>
      </c>
    </row>
    <row r="172" spans="2:5">
      <c r="B172" s="7">
        <v>44802</v>
      </c>
      <c r="C172" s="8">
        <v>2022</v>
      </c>
      <c r="D172" s="8" t="b">
        <f t="shared" si="2"/>
        <v>1</v>
      </c>
      <c r="E172">
        <v>97.4</v>
      </c>
    </row>
    <row r="173" spans="2:5">
      <c r="B173" s="7">
        <v>44803</v>
      </c>
      <c r="C173" s="8">
        <v>2022</v>
      </c>
      <c r="D173" s="8" t="b">
        <f t="shared" si="2"/>
        <v>1</v>
      </c>
      <c r="E173">
        <v>92.08</v>
      </c>
    </row>
    <row r="174" spans="2:5">
      <c r="B174" s="7">
        <v>44804</v>
      </c>
      <c r="C174" s="8">
        <v>2022</v>
      </c>
      <c r="D174" s="8" t="b">
        <f t="shared" si="2"/>
        <v>1</v>
      </c>
      <c r="E174">
        <v>90.09</v>
      </c>
    </row>
    <row r="175" spans="2:5">
      <c r="B175" s="7">
        <v>44805</v>
      </c>
      <c r="C175" s="8">
        <v>2022</v>
      </c>
      <c r="D175" s="8" t="b">
        <f t="shared" si="2"/>
        <v>1</v>
      </c>
      <c r="E175">
        <v>87.09</v>
      </c>
    </row>
    <row r="176" spans="2:5">
      <c r="B176" s="7">
        <v>44806</v>
      </c>
      <c r="C176" s="8">
        <v>2022</v>
      </c>
      <c r="D176" s="8" t="b">
        <f t="shared" si="2"/>
        <v>1</v>
      </c>
      <c r="E176">
        <v>87.29</v>
      </c>
    </row>
    <row r="177" spans="2:5">
      <c r="B177" s="7">
        <v>44809</v>
      </c>
      <c r="C177" s="8">
        <v>2022</v>
      </c>
      <c r="D177" s="8" t="b">
        <f t="shared" si="2"/>
        <v>0</v>
      </c>
    </row>
    <row r="178" spans="2:5">
      <c r="B178" s="7">
        <v>44810</v>
      </c>
      <c r="C178" s="8">
        <v>2022</v>
      </c>
      <c r="D178" s="8" t="b">
        <f t="shared" si="2"/>
        <v>1</v>
      </c>
      <c r="E178">
        <v>87.35</v>
      </c>
    </row>
    <row r="179" spans="2:5">
      <c r="B179" s="7">
        <v>44811</v>
      </c>
      <c r="C179" s="8">
        <v>2022</v>
      </c>
      <c r="D179" s="8" t="b">
        <f t="shared" si="2"/>
        <v>1</v>
      </c>
      <c r="E179">
        <v>82.5</v>
      </c>
    </row>
    <row r="180" spans="2:5">
      <c r="B180" s="7">
        <v>44812</v>
      </c>
      <c r="C180" s="8">
        <v>2022</v>
      </c>
      <c r="D180" s="8" t="b">
        <f t="shared" si="2"/>
        <v>1</v>
      </c>
      <c r="E180">
        <v>84.04</v>
      </c>
    </row>
    <row r="181" spans="2:5">
      <c r="B181" s="7">
        <v>44813</v>
      </c>
      <c r="C181" s="8">
        <v>2022</v>
      </c>
      <c r="D181" s="8" t="b">
        <f t="shared" si="2"/>
        <v>1</v>
      </c>
      <c r="E181">
        <v>87.27</v>
      </c>
    </row>
    <row r="182" spans="2:5">
      <c r="B182" s="7">
        <v>44816</v>
      </c>
      <c r="C182" s="8">
        <v>2022</v>
      </c>
      <c r="D182" s="8" t="b">
        <f t="shared" si="2"/>
        <v>1</v>
      </c>
      <c r="E182">
        <v>88.18</v>
      </c>
    </row>
    <row r="183" spans="2:5">
      <c r="B183" s="7">
        <v>44817</v>
      </c>
      <c r="C183" s="8">
        <v>2022</v>
      </c>
      <c r="D183" s="8" t="b">
        <f t="shared" si="2"/>
        <v>1</v>
      </c>
      <c r="E183">
        <v>87.84</v>
      </c>
    </row>
    <row r="184" spans="2:5">
      <c r="B184" s="7">
        <v>44818</v>
      </c>
      <c r="C184" s="8">
        <v>2022</v>
      </c>
      <c r="D184" s="8" t="b">
        <f t="shared" si="2"/>
        <v>1</v>
      </c>
      <c r="E184">
        <v>88.88</v>
      </c>
    </row>
    <row r="185" spans="2:5">
      <c r="B185" s="7">
        <v>44819</v>
      </c>
      <c r="C185" s="8">
        <v>2022</v>
      </c>
      <c r="D185" s="8" t="b">
        <f t="shared" si="2"/>
        <v>1</v>
      </c>
      <c r="E185">
        <v>85.72</v>
      </c>
    </row>
    <row r="186" spans="2:5">
      <c r="B186" s="7">
        <v>44820</v>
      </c>
      <c r="C186" s="8">
        <v>2022</v>
      </c>
      <c r="D186" s="8" t="b">
        <f t="shared" si="2"/>
        <v>1</v>
      </c>
      <c r="E186">
        <v>85.57</v>
      </c>
    </row>
    <row r="187" spans="2:5">
      <c r="B187" s="7">
        <v>44823</v>
      </c>
      <c r="C187" s="8">
        <v>2022</v>
      </c>
      <c r="D187" s="8" t="b">
        <f t="shared" si="2"/>
        <v>1</v>
      </c>
      <c r="E187">
        <v>86.15</v>
      </c>
    </row>
    <row r="188" spans="2:5">
      <c r="B188" s="7">
        <v>44824</v>
      </c>
      <c r="C188" s="8">
        <v>2022</v>
      </c>
      <c r="D188" s="8" t="b">
        <f t="shared" si="2"/>
        <v>1</v>
      </c>
      <c r="E188">
        <v>84.69</v>
      </c>
    </row>
    <row r="189" spans="2:5">
      <c r="B189" s="7">
        <v>44825</v>
      </c>
      <c r="C189" s="8">
        <v>2022</v>
      </c>
      <c r="D189" s="8" t="b">
        <f t="shared" si="2"/>
        <v>1</v>
      </c>
      <c r="E189">
        <v>83.38</v>
      </c>
    </row>
    <row r="190" spans="2:5">
      <c r="B190" s="7">
        <v>44826</v>
      </c>
      <c r="C190" s="8">
        <v>2022</v>
      </c>
      <c r="D190" s="8" t="b">
        <f t="shared" si="2"/>
        <v>1</v>
      </c>
      <c r="E190">
        <v>84.02</v>
      </c>
    </row>
    <row r="191" spans="2:5">
      <c r="B191" s="7">
        <v>44827</v>
      </c>
      <c r="C191" s="8">
        <v>2022</v>
      </c>
      <c r="D191" s="8" t="b">
        <f t="shared" si="2"/>
        <v>1</v>
      </c>
      <c r="E191">
        <v>79.069999999999993</v>
      </c>
    </row>
    <row r="192" spans="2:5">
      <c r="B192" s="7">
        <v>44830</v>
      </c>
      <c r="C192" s="8">
        <v>2022</v>
      </c>
      <c r="D192" s="8" t="b">
        <f t="shared" si="2"/>
        <v>1</v>
      </c>
      <c r="E192">
        <v>77.17</v>
      </c>
    </row>
    <row r="193" spans="2:5">
      <c r="B193" s="7">
        <v>44831</v>
      </c>
      <c r="C193" s="8">
        <v>2022</v>
      </c>
      <c r="D193" s="8" t="b">
        <f t="shared" si="2"/>
        <v>1</v>
      </c>
      <c r="E193">
        <v>78.91</v>
      </c>
    </row>
    <row r="194" spans="2:5">
      <c r="B194" s="7">
        <v>44832</v>
      </c>
      <c r="C194" s="8">
        <v>2022</v>
      </c>
      <c r="D194" s="8" t="b">
        <f t="shared" si="2"/>
        <v>1</v>
      </c>
      <c r="E194">
        <v>82.61</v>
      </c>
    </row>
    <row r="195" spans="2:5">
      <c r="B195" s="7">
        <v>44833</v>
      </c>
      <c r="C195" s="8">
        <v>2022</v>
      </c>
      <c r="D195" s="8" t="b">
        <f t="shared" si="2"/>
        <v>1</v>
      </c>
      <c r="E195">
        <v>81.78</v>
      </c>
    </row>
    <row r="196" spans="2:5">
      <c r="B196" s="7">
        <v>44834</v>
      </c>
      <c r="C196" s="8">
        <v>2022</v>
      </c>
      <c r="D196" s="8" t="b">
        <f t="shared" ref="D196:D259" si="3">ISNUMBER(E196)</f>
        <v>1</v>
      </c>
      <c r="E196">
        <v>79.91</v>
      </c>
    </row>
    <row r="197" spans="2:5">
      <c r="B197" s="7">
        <v>44837</v>
      </c>
      <c r="C197" s="8">
        <v>2022</v>
      </c>
      <c r="D197" s="8" t="b">
        <f t="shared" si="3"/>
        <v>1</v>
      </c>
      <c r="E197">
        <v>84.05</v>
      </c>
    </row>
    <row r="198" spans="2:5">
      <c r="B198" s="7">
        <v>44838</v>
      </c>
      <c r="C198" s="8">
        <v>2022</v>
      </c>
      <c r="D198" s="8" t="b">
        <f t="shared" si="3"/>
        <v>1</v>
      </c>
      <c r="E198">
        <v>86.87</v>
      </c>
    </row>
    <row r="199" spans="2:5">
      <c r="B199" s="7">
        <v>44839</v>
      </c>
      <c r="C199" s="8">
        <v>2022</v>
      </c>
      <c r="D199" s="8" t="b">
        <f t="shared" si="3"/>
        <v>1</v>
      </c>
      <c r="E199">
        <v>88.22</v>
      </c>
    </row>
    <row r="200" spans="2:5">
      <c r="B200" s="7">
        <v>44840</v>
      </c>
      <c r="C200" s="8">
        <v>2022</v>
      </c>
      <c r="D200" s="8" t="b">
        <f t="shared" si="3"/>
        <v>1</v>
      </c>
      <c r="E200">
        <v>88.9</v>
      </c>
    </row>
    <row r="201" spans="2:5">
      <c r="B201" s="7">
        <v>44841</v>
      </c>
      <c r="C201" s="8">
        <v>2022</v>
      </c>
      <c r="D201" s="8" t="b">
        <f t="shared" si="3"/>
        <v>1</v>
      </c>
      <c r="E201">
        <v>93.07</v>
      </c>
    </row>
    <row r="202" spans="2:5">
      <c r="B202" s="7">
        <v>44844</v>
      </c>
      <c r="C202" s="8">
        <v>2022</v>
      </c>
      <c r="D202" s="8" t="b">
        <f t="shared" si="3"/>
        <v>1</v>
      </c>
      <c r="E202">
        <v>91.6</v>
      </c>
    </row>
    <row r="203" spans="2:5">
      <c r="B203" s="7">
        <v>44845</v>
      </c>
      <c r="C203" s="8">
        <v>2022</v>
      </c>
      <c r="D203" s="8" t="b">
        <f t="shared" si="3"/>
        <v>1</v>
      </c>
      <c r="E203">
        <v>89.75</v>
      </c>
    </row>
    <row r="204" spans="2:5">
      <c r="B204" s="7">
        <v>44846</v>
      </c>
      <c r="C204" s="8">
        <v>2022</v>
      </c>
      <c r="D204" s="8" t="b">
        <f t="shared" si="3"/>
        <v>1</v>
      </c>
      <c r="E204">
        <v>87.83</v>
      </c>
    </row>
    <row r="205" spans="2:5">
      <c r="B205" s="7">
        <v>44847</v>
      </c>
      <c r="C205" s="8">
        <v>2022</v>
      </c>
      <c r="D205" s="8" t="b">
        <f t="shared" si="3"/>
        <v>1</v>
      </c>
      <c r="E205">
        <v>89.59</v>
      </c>
    </row>
    <row r="206" spans="2:5">
      <c r="B206" s="7">
        <v>44848</v>
      </c>
      <c r="C206" s="8">
        <v>2022</v>
      </c>
      <c r="D206" s="8" t="b">
        <f t="shared" si="3"/>
        <v>1</v>
      </c>
      <c r="E206">
        <v>86.1</v>
      </c>
    </row>
    <row r="207" spans="2:5">
      <c r="B207" s="7">
        <v>44851</v>
      </c>
      <c r="C207" s="8">
        <v>2022</v>
      </c>
      <c r="D207" s="8" t="b">
        <f t="shared" si="3"/>
        <v>1</v>
      </c>
      <c r="E207">
        <v>86</v>
      </c>
    </row>
    <row r="208" spans="2:5">
      <c r="B208" s="7">
        <v>44852</v>
      </c>
      <c r="C208" s="8">
        <v>2022</v>
      </c>
      <c r="D208" s="8" t="b">
        <f t="shared" si="3"/>
        <v>1</v>
      </c>
      <c r="E208">
        <v>83.29</v>
      </c>
    </row>
    <row r="209" spans="2:5">
      <c r="B209" s="7">
        <v>44853</v>
      </c>
      <c r="C209" s="8">
        <v>2022</v>
      </c>
      <c r="D209" s="8" t="b">
        <f t="shared" si="3"/>
        <v>1</v>
      </c>
      <c r="E209">
        <v>86</v>
      </c>
    </row>
    <row r="210" spans="2:5">
      <c r="B210" s="7">
        <v>44854</v>
      </c>
      <c r="C210" s="8">
        <v>2022</v>
      </c>
      <c r="D210" s="8" t="b">
        <f t="shared" si="3"/>
        <v>1</v>
      </c>
      <c r="E210">
        <v>86.02</v>
      </c>
    </row>
    <row r="211" spans="2:5">
      <c r="B211" s="7">
        <v>44855</v>
      </c>
      <c r="C211" s="8">
        <v>2022</v>
      </c>
      <c r="D211" s="8" t="b">
        <f t="shared" si="3"/>
        <v>1</v>
      </c>
      <c r="E211">
        <v>85.47</v>
      </c>
    </row>
    <row r="212" spans="2:5">
      <c r="B212" s="7">
        <v>44858</v>
      </c>
      <c r="C212" s="8">
        <v>2022</v>
      </c>
      <c r="D212" s="8" t="b">
        <f t="shared" si="3"/>
        <v>1</v>
      </c>
      <c r="E212">
        <v>86.12</v>
      </c>
    </row>
    <row r="213" spans="2:5">
      <c r="B213" s="7">
        <v>44859</v>
      </c>
      <c r="C213" s="8">
        <v>2022</v>
      </c>
      <c r="D213" s="8" t="b">
        <f t="shared" si="3"/>
        <v>1</v>
      </c>
      <c r="E213">
        <v>86.93</v>
      </c>
    </row>
    <row r="214" spans="2:5">
      <c r="B214" s="7">
        <v>44860</v>
      </c>
      <c r="C214" s="8">
        <v>2022</v>
      </c>
      <c r="D214" s="8" t="b">
        <f t="shared" si="3"/>
        <v>1</v>
      </c>
      <c r="E214">
        <v>89.39</v>
      </c>
    </row>
    <row r="215" spans="2:5">
      <c r="B215" s="7">
        <v>44861</v>
      </c>
      <c r="C215" s="8">
        <v>2022</v>
      </c>
      <c r="D215" s="8" t="b">
        <f t="shared" si="3"/>
        <v>1</v>
      </c>
      <c r="E215">
        <v>89.06</v>
      </c>
    </row>
    <row r="216" spans="2:5">
      <c r="B216" s="7">
        <v>44862</v>
      </c>
      <c r="C216" s="8">
        <v>2022</v>
      </c>
      <c r="D216" s="8" t="b">
        <f t="shared" si="3"/>
        <v>1</v>
      </c>
      <c r="E216">
        <v>87.85</v>
      </c>
    </row>
    <row r="217" spans="2:5">
      <c r="B217" s="7">
        <v>44865</v>
      </c>
      <c r="C217" s="8">
        <v>2022</v>
      </c>
      <c r="D217" s="8" t="b">
        <f t="shared" si="3"/>
        <v>1</v>
      </c>
      <c r="E217">
        <v>86.54</v>
      </c>
    </row>
    <row r="218" spans="2:5">
      <c r="B218" s="7">
        <v>44866</v>
      </c>
      <c r="C218" s="8">
        <v>2022</v>
      </c>
      <c r="D218" s="8" t="b">
        <f t="shared" si="3"/>
        <v>1</v>
      </c>
      <c r="E218">
        <v>88.36</v>
      </c>
    </row>
    <row r="219" spans="2:5">
      <c r="B219" s="7">
        <v>44867</v>
      </c>
      <c r="C219" s="8">
        <v>2022</v>
      </c>
      <c r="D219" s="8" t="b">
        <f t="shared" si="3"/>
        <v>1</v>
      </c>
      <c r="E219">
        <v>90.06</v>
      </c>
    </row>
    <row r="220" spans="2:5">
      <c r="B220" s="7">
        <v>44868</v>
      </c>
      <c r="C220" s="8">
        <v>2022</v>
      </c>
      <c r="D220" s="8" t="b">
        <f t="shared" si="3"/>
        <v>1</v>
      </c>
      <c r="E220">
        <v>88.14</v>
      </c>
    </row>
    <row r="221" spans="2:5">
      <c r="B221" s="7">
        <v>44869</v>
      </c>
      <c r="C221" s="8">
        <v>2022</v>
      </c>
      <c r="D221" s="8" t="b">
        <f t="shared" si="3"/>
        <v>1</v>
      </c>
      <c r="E221">
        <v>92.58</v>
      </c>
    </row>
    <row r="222" spans="2:5">
      <c r="B222" s="7">
        <v>44872</v>
      </c>
      <c r="C222" s="8">
        <v>2022</v>
      </c>
      <c r="D222" s="8" t="b">
        <f t="shared" si="3"/>
        <v>1</v>
      </c>
      <c r="E222">
        <v>91.8</v>
      </c>
    </row>
    <row r="223" spans="2:5">
      <c r="B223" s="7">
        <v>44873</v>
      </c>
      <c r="C223" s="8">
        <v>2022</v>
      </c>
      <c r="D223" s="8" t="b">
        <f t="shared" si="3"/>
        <v>1</v>
      </c>
      <c r="E223">
        <v>88.8</v>
      </c>
    </row>
    <row r="224" spans="2:5">
      <c r="B224" s="7">
        <v>44874</v>
      </c>
      <c r="C224" s="8">
        <v>2022</v>
      </c>
      <c r="D224" s="8" t="b">
        <f t="shared" si="3"/>
        <v>1</v>
      </c>
      <c r="E224">
        <v>85.79</v>
      </c>
    </row>
    <row r="225" spans="2:5">
      <c r="B225" s="7">
        <v>44875</v>
      </c>
      <c r="C225" s="8">
        <v>2022</v>
      </c>
      <c r="D225" s="8" t="b">
        <f t="shared" si="3"/>
        <v>1</v>
      </c>
      <c r="E225">
        <v>86.52</v>
      </c>
    </row>
    <row r="226" spans="2:5">
      <c r="B226" s="7">
        <v>44876</v>
      </c>
      <c r="C226" s="8">
        <v>2022</v>
      </c>
      <c r="D226" s="8" t="b">
        <f t="shared" si="3"/>
        <v>1</v>
      </c>
      <c r="E226">
        <v>89.14</v>
      </c>
    </row>
    <row r="227" spans="2:5">
      <c r="B227" s="7">
        <v>44879</v>
      </c>
      <c r="C227" s="8">
        <v>2022</v>
      </c>
      <c r="D227" s="8" t="b">
        <f t="shared" si="3"/>
        <v>1</v>
      </c>
      <c r="E227">
        <v>85.85</v>
      </c>
    </row>
    <row r="228" spans="2:5">
      <c r="B228" s="7">
        <v>44880</v>
      </c>
      <c r="C228" s="8">
        <v>2022</v>
      </c>
      <c r="D228" s="8" t="b">
        <f t="shared" si="3"/>
        <v>1</v>
      </c>
      <c r="E228">
        <v>86.87</v>
      </c>
    </row>
    <row r="229" spans="2:5">
      <c r="B229" s="7">
        <v>44881</v>
      </c>
      <c r="C229" s="8">
        <v>2022</v>
      </c>
      <c r="D229" s="8" t="b">
        <f t="shared" si="3"/>
        <v>1</v>
      </c>
      <c r="E229">
        <v>85.62</v>
      </c>
    </row>
    <row r="230" spans="2:5">
      <c r="B230" s="7">
        <v>44882</v>
      </c>
      <c r="C230" s="8">
        <v>2022</v>
      </c>
      <c r="D230" s="8" t="b">
        <f t="shared" si="3"/>
        <v>1</v>
      </c>
      <c r="E230">
        <v>81.69</v>
      </c>
    </row>
    <row r="231" spans="2:5">
      <c r="B231" s="7">
        <v>44883</v>
      </c>
      <c r="C231" s="8">
        <v>2022</v>
      </c>
      <c r="D231" s="8" t="b">
        <f t="shared" si="3"/>
        <v>1</v>
      </c>
      <c r="E231">
        <v>80.069999999999993</v>
      </c>
    </row>
    <row r="232" spans="2:5">
      <c r="B232" s="7">
        <v>44886</v>
      </c>
      <c r="C232" s="8">
        <v>2022</v>
      </c>
      <c r="D232" s="8" t="b">
        <f t="shared" si="3"/>
        <v>1</v>
      </c>
      <c r="E232">
        <v>79.739999999999995</v>
      </c>
    </row>
    <row r="233" spans="2:5">
      <c r="B233" s="7">
        <v>44887</v>
      </c>
      <c r="C233" s="8">
        <v>2022</v>
      </c>
      <c r="D233" s="8" t="b">
        <f t="shared" si="3"/>
        <v>1</v>
      </c>
      <c r="E233">
        <v>80.83</v>
      </c>
    </row>
    <row r="234" spans="2:5">
      <c r="B234" s="7">
        <v>44888</v>
      </c>
      <c r="C234" s="8">
        <v>2022</v>
      </c>
      <c r="D234" s="8" t="b">
        <f t="shared" si="3"/>
        <v>1</v>
      </c>
      <c r="E234">
        <v>77.930000000000007</v>
      </c>
    </row>
    <row r="235" spans="2:5">
      <c r="B235" s="7">
        <v>44889</v>
      </c>
      <c r="C235" s="8">
        <v>2022</v>
      </c>
      <c r="D235" s="8" t="b">
        <f t="shared" si="3"/>
        <v>0</v>
      </c>
    </row>
    <row r="236" spans="2:5">
      <c r="B236" s="7">
        <v>44890</v>
      </c>
      <c r="C236" s="8">
        <v>2022</v>
      </c>
      <c r="D236" s="8" t="b">
        <f t="shared" si="3"/>
        <v>1</v>
      </c>
      <c r="E236">
        <v>76.45</v>
      </c>
    </row>
    <row r="237" spans="2:5">
      <c r="B237" s="7">
        <v>44893</v>
      </c>
      <c r="C237" s="8">
        <v>2022</v>
      </c>
      <c r="D237" s="8" t="b">
        <f t="shared" si="3"/>
        <v>1</v>
      </c>
      <c r="E237">
        <v>77.099999999999994</v>
      </c>
    </row>
    <row r="238" spans="2:5">
      <c r="B238" s="7">
        <v>44894</v>
      </c>
      <c r="C238" s="8">
        <v>2022</v>
      </c>
      <c r="D238" s="8" t="b">
        <f t="shared" si="3"/>
        <v>1</v>
      </c>
      <c r="E238">
        <v>77.959999999999994</v>
      </c>
    </row>
    <row r="239" spans="2:5">
      <c r="B239" s="7">
        <v>44895</v>
      </c>
      <c r="C239" s="8">
        <v>2022</v>
      </c>
      <c r="D239" s="8" t="b">
        <f t="shared" si="3"/>
        <v>1</v>
      </c>
      <c r="E239">
        <v>80.48</v>
      </c>
    </row>
    <row r="240" spans="2:5">
      <c r="B240" s="7">
        <v>44896</v>
      </c>
      <c r="C240" s="8">
        <v>2022</v>
      </c>
      <c r="D240" s="8" t="b">
        <f t="shared" si="3"/>
        <v>1</v>
      </c>
      <c r="E240">
        <v>81.06</v>
      </c>
    </row>
    <row r="241" spans="2:5">
      <c r="B241" s="7">
        <v>44897</v>
      </c>
      <c r="C241" s="8">
        <v>2022</v>
      </c>
      <c r="D241" s="8" t="b">
        <f t="shared" si="3"/>
        <v>1</v>
      </c>
      <c r="E241">
        <v>79.86</v>
      </c>
    </row>
    <row r="242" spans="2:5">
      <c r="B242" s="7">
        <v>44900</v>
      </c>
      <c r="C242" s="8">
        <v>2022</v>
      </c>
      <c r="D242" s="8" t="b">
        <f t="shared" si="3"/>
        <v>1</v>
      </c>
      <c r="E242">
        <v>76.83</v>
      </c>
    </row>
    <row r="243" spans="2:5">
      <c r="B243" s="7">
        <v>44901</v>
      </c>
      <c r="C243" s="8">
        <v>2022</v>
      </c>
      <c r="D243" s="8" t="b">
        <f t="shared" si="3"/>
        <v>1</v>
      </c>
      <c r="E243">
        <v>74.209999999999994</v>
      </c>
    </row>
    <row r="244" spans="2:5">
      <c r="B244" s="7">
        <v>44902</v>
      </c>
      <c r="C244" s="8">
        <v>2022</v>
      </c>
      <c r="D244" s="8" t="b">
        <f t="shared" si="3"/>
        <v>1</v>
      </c>
      <c r="E244">
        <v>71.930000000000007</v>
      </c>
    </row>
    <row r="245" spans="2:5">
      <c r="B245" s="7">
        <v>44903</v>
      </c>
      <c r="C245" s="8">
        <v>2022</v>
      </c>
      <c r="D245" s="8" t="b">
        <f t="shared" si="3"/>
        <v>1</v>
      </c>
      <c r="E245">
        <v>71.3</v>
      </c>
    </row>
    <row r="246" spans="2:5">
      <c r="B246" s="7">
        <v>44904</v>
      </c>
      <c r="C246" s="8">
        <v>2022</v>
      </c>
      <c r="D246" s="8" t="b">
        <f t="shared" si="3"/>
        <v>1</v>
      </c>
      <c r="E246">
        <v>71.05</v>
      </c>
    </row>
    <row r="247" spans="2:5">
      <c r="B247" s="7">
        <v>44907</v>
      </c>
      <c r="C247" s="8">
        <v>2022</v>
      </c>
      <c r="D247" s="8" t="b">
        <f t="shared" si="3"/>
        <v>1</v>
      </c>
      <c r="E247">
        <v>72.959999999999994</v>
      </c>
    </row>
    <row r="248" spans="2:5">
      <c r="B248" s="7">
        <v>44908</v>
      </c>
      <c r="C248" s="8">
        <v>2022</v>
      </c>
      <c r="D248" s="8" t="b">
        <f t="shared" si="3"/>
        <v>1</v>
      </c>
      <c r="E248">
        <v>75.44</v>
      </c>
    </row>
    <row r="249" spans="2:5">
      <c r="B249" s="7">
        <v>44909</v>
      </c>
      <c r="C249" s="8">
        <v>2022</v>
      </c>
      <c r="D249" s="8" t="b">
        <f t="shared" si="3"/>
        <v>1</v>
      </c>
      <c r="E249">
        <v>77.14</v>
      </c>
    </row>
    <row r="250" spans="2:5">
      <c r="B250" s="7">
        <v>44910</v>
      </c>
      <c r="C250" s="8">
        <v>2022</v>
      </c>
      <c r="D250" s="8" t="b">
        <f t="shared" si="3"/>
        <v>1</v>
      </c>
      <c r="E250">
        <v>75.89</v>
      </c>
    </row>
    <row r="251" spans="2:5">
      <c r="B251" s="7">
        <v>44911</v>
      </c>
      <c r="C251" s="8">
        <v>2022</v>
      </c>
      <c r="D251" s="8" t="b">
        <f t="shared" si="3"/>
        <v>1</v>
      </c>
      <c r="E251">
        <v>74.19</v>
      </c>
    </row>
    <row r="252" spans="2:5">
      <c r="B252" s="7">
        <v>44914</v>
      </c>
      <c r="C252" s="8">
        <v>2022</v>
      </c>
      <c r="D252" s="8" t="b">
        <f t="shared" si="3"/>
        <v>1</v>
      </c>
      <c r="E252">
        <v>75.05</v>
      </c>
    </row>
    <row r="253" spans="2:5">
      <c r="B253" s="7">
        <v>44915</v>
      </c>
      <c r="C253" s="8">
        <v>2022</v>
      </c>
      <c r="D253" s="8" t="b">
        <f t="shared" si="3"/>
        <v>1</v>
      </c>
      <c r="E253">
        <v>75.92</v>
      </c>
    </row>
    <row r="254" spans="2:5">
      <c r="B254" s="7">
        <v>44916</v>
      </c>
      <c r="C254" s="8">
        <v>2022</v>
      </c>
      <c r="D254" s="8" t="b">
        <f t="shared" si="3"/>
        <v>1</v>
      </c>
      <c r="E254">
        <v>78.17</v>
      </c>
    </row>
    <row r="255" spans="2:5">
      <c r="B255" s="7">
        <v>44917</v>
      </c>
      <c r="C255" s="8">
        <v>2022</v>
      </c>
      <c r="D255" s="8" t="b">
        <f t="shared" si="3"/>
        <v>1</v>
      </c>
      <c r="E255">
        <v>77.680000000000007</v>
      </c>
    </row>
    <row r="256" spans="2:5">
      <c r="B256" s="7">
        <v>44918</v>
      </c>
      <c r="C256" s="8">
        <v>2022</v>
      </c>
      <c r="D256" s="8" t="b">
        <f t="shared" si="3"/>
        <v>1</v>
      </c>
      <c r="E256">
        <v>79.569999999999993</v>
      </c>
    </row>
    <row r="257" spans="2:5">
      <c r="B257" s="7">
        <v>44922</v>
      </c>
      <c r="C257" s="8">
        <v>2022</v>
      </c>
      <c r="D257" s="8" t="b">
        <f t="shared" si="3"/>
        <v>1</v>
      </c>
      <c r="E257">
        <v>79.45</v>
      </c>
    </row>
    <row r="258" spans="2:5">
      <c r="B258" s="7">
        <v>44923</v>
      </c>
      <c r="C258" s="8">
        <v>2022</v>
      </c>
      <c r="D258" s="8" t="b">
        <f t="shared" si="3"/>
        <v>1</v>
      </c>
      <c r="E258">
        <v>78.89</v>
      </c>
    </row>
    <row r="259" spans="2:5">
      <c r="B259" s="7">
        <v>44924</v>
      </c>
      <c r="C259" s="8">
        <v>2022</v>
      </c>
      <c r="D259" s="8" t="b">
        <f t="shared" si="3"/>
        <v>1</v>
      </c>
      <c r="E259">
        <v>78.430000000000007</v>
      </c>
    </row>
    <row r="260" spans="2:5">
      <c r="B260" s="7">
        <v>44925</v>
      </c>
      <c r="C260" s="8">
        <v>2022</v>
      </c>
      <c r="D260" s="8" t="b">
        <f t="shared" ref="D260:D323" si="4">ISNUMBER(E260)</f>
        <v>1</v>
      </c>
      <c r="E260">
        <v>80.16</v>
      </c>
    </row>
    <row r="261" spans="2:5">
      <c r="B261" s="7">
        <v>44929</v>
      </c>
      <c r="C261" s="8">
        <v>2023</v>
      </c>
      <c r="D261" s="8" t="b">
        <f t="shared" si="4"/>
        <v>1</v>
      </c>
      <c r="E261">
        <v>76.87</v>
      </c>
    </row>
    <row r="262" spans="2:5">
      <c r="B262" s="7">
        <v>44930</v>
      </c>
      <c r="C262" s="8">
        <v>2023</v>
      </c>
      <c r="D262" s="8" t="b">
        <f t="shared" si="4"/>
        <v>1</v>
      </c>
      <c r="E262">
        <v>72.819999999999993</v>
      </c>
    </row>
    <row r="263" spans="2:5">
      <c r="B263" s="7">
        <v>44931</v>
      </c>
      <c r="C263" s="8">
        <v>2023</v>
      </c>
      <c r="D263" s="8" t="b">
        <f t="shared" si="4"/>
        <v>1</v>
      </c>
      <c r="E263">
        <v>73.61</v>
      </c>
    </row>
    <row r="264" spans="2:5">
      <c r="B264" s="7">
        <v>44932</v>
      </c>
      <c r="C264" s="8">
        <v>2023</v>
      </c>
      <c r="D264" s="8" t="b">
        <f t="shared" si="4"/>
        <v>1</v>
      </c>
      <c r="E264">
        <v>73.77</v>
      </c>
    </row>
    <row r="265" spans="2:5">
      <c r="B265" s="7">
        <v>44935</v>
      </c>
      <c r="C265" s="8">
        <v>2023</v>
      </c>
      <c r="D265" s="8" t="b">
        <f t="shared" si="4"/>
        <v>1</v>
      </c>
      <c r="E265">
        <v>74.69</v>
      </c>
    </row>
    <row r="266" spans="2:5">
      <c r="B266" s="7">
        <v>44936</v>
      </c>
      <c r="C266" s="8">
        <v>2023</v>
      </c>
      <c r="D266" s="8" t="b">
        <f t="shared" si="4"/>
        <v>1</v>
      </c>
      <c r="E266">
        <v>75.11</v>
      </c>
    </row>
    <row r="267" spans="2:5">
      <c r="B267" s="7">
        <v>44937</v>
      </c>
      <c r="C267" s="8">
        <v>2023</v>
      </c>
      <c r="D267" s="8" t="b">
        <f t="shared" si="4"/>
        <v>1</v>
      </c>
      <c r="E267">
        <v>77.459999999999994</v>
      </c>
    </row>
    <row r="268" spans="2:5">
      <c r="B268" s="7">
        <v>44938</v>
      </c>
      <c r="C268" s="8">
        <v>2023</v>
      </c>
      <c r="D268" s="8" t="b">
        <f t="shared" si="4"/>
        <v>1</v>
      </c>
      <c r="E268">
        <v>78.319999999999993</v>
      </c>
    </row>
    <row r="269" spans="2:5">
      <c r="B269" s="7">
        <v>44939</v>
      </c>
      <c r="C269" s="8">
        <v>2023</v>
      </c>
      <c r="D269" s="8" t="b">
        <f t="shared" si="4"/>
        <v>1</v>
      </c>
      <c r="E269">
        <v>79.900000000000006</v>
      </c>
    </row>
    <row r="270" spans="2:5">
      <c r="B270" s="7">
        <v>44942</v>
      </c>
      <c r="C270" s="8">
        <v>2023</v>
      </c>
      <c r="D270" s="8" t="b">
        <f t="shared" si="4"/>
        <v>0</v>
      </c>
    </row>
    <row r="271" spans="2:5">
      <c r="B271" s="7">
        <v>44943</v>
      </c>
      <c r="C271" s="8">
        <v>2023</v>
      </c>
      <c r="D271" s="8" t="b">
        <f t="shared" si="4"/>
        <v>1</v>
      </c>
      <c r="E271">
        <v>80.25</v>
      </c>
    </row>
    <row r="272" spans="2:5">
      <c r="B272" s="7">
        <v>44944</v>
      </c>
      <c r="C272" s="8">
        <v>2023</v>
      </c>
      <c r="D272" s="8" t="b">
        <f t="shared" si="4"/>
        <v>1</v>
      </c>
      <c r="E272">
        <v>79.53</v>
      </c>
    </row>
    <row r="273" spans="2:5">
      <c r="B273" s="7">
        <v>44945</v>
      </c>
      <c r="C273" s="8">
        <v>2023</v>
      </c>
      <c r="D273" s="8" t="b">
        <f t="shared" si="4"/>
        <v>1</v>
      </c>
      <c r="E273">
        <v>80.31</v>
      </c>
    </row>
    <row r="274" spans="2:5">
      <c r="B274" s="7">
        <v>44946</v>
      </c>
      <c r="C274" s="8">
        <v>2023</v>
      </c>
      <c r="D274" s="8" t="b">
        <f t="shared" si="4"/>
        <v>1</v>
      </c>
      <c r="E274">
        <v>81.27</v>
      </c>
    </row>
    <row r="275" spans="2:5">
      <c r="B275" s="7">
        <v>44949</v>
      </c>
      <c r="C275" s="8">
        <v>2023</v>
      </c>
      <c r="D275" s="8" t="b">
        <f t="shared" si="4"/>
        <v>1</v>
      </c>
      <c r="E275">
        <v>81.62</v>
      </c>
    </row>
    <row r="276" spans="2:5">
      <c r="B276" s="7">
        <v>44950</v>
      </c>
      <c r="C276" s="8">
        <v>2023</v>
      </c>
      <c r="D276" s="8" t="b">
        <f t="shared" si="4"/>
        <v>1</v>
      </c>
      <c r="E276">
        <v>79.86</v>
      </c>
    </row>
    <row r="277" spans="2:5">
      <c r="B277" s="7">
        <v>44951</v>
      </c>
      <c r="C277" s="8">
        <v>2023</v>
      </c>
      <c r="D277" s="8" t="b">
        <f t="shared" si="4"/>
        <v>1</v>
      </c>
      <c r="E277">
        <v>79.78</v>
      </c>
    </row>
    <row r="278" spans="2:5">
      <c r="B278" s="7">
        <v>44952</v>
      </c>
      <c r="C278" s="8">
        <v>2023</v>
      </c>
      <c r="D278" s="8" t="b">
        <f t="shared" si="4"/>
        <v>1</v>
      </c>
      <c r="E278">
        <v>80.64</v>
      </c>
    </row>
    <row r="279" spans="2:5">
      <c r="B279" s="7">
        <v>44953</v>
      </c>
      <c r="C279" s="8">
        <v>2023</v>
      </c>
      <c r="D279" s="8" t="b">
        <f t="shared" si="4"/>
        <v>1</v>
      </c>
      <c r="E279">
        <v>79.73</v>
      </c>
    </row>
    <row r="280" spans="2:5">
      <c r="B280" s="7">
        <v>44956</v>
      </c>
      <c r="C280" s="8">
        <v>2023</v>
      </c>
      <c r="D280" s="8" t="b">
        <f t="shared" si="4"/>
        <v>1</v>
      </c>
      <c r="E280">
        <v>77.97</v>
      </c>
    </row>
    <row r="281" spans="2:5">
      <c r="B281" s="7">
        <v>44957</v>
      </c>
      <c r="C281" s="8">
        <v>2023</v>
      </c>
      <c r="D281" s="8" t="b">
        <f t="shared" si="4"/>
        <v>1</v>
      </c>
      <c r="E281">
        <v>78.95</v>
      </c>
    </row>
    <row r="282" spans="2:5">
      <c r="B282" s="7">
        <v>44958</v>
      </c>
      <c r="C282" s="8">
        <v>2023</v>
      </c>
      <c r="D282" s="8" t="b">
        <f t="shared" si="4"/>
        <v>1</v>
      </c>
      <c r="E282">
        <v>76.34</v>
      </c>
    </row>
    <row r="283" spans="2:5">
      <c r="B283" s="7">
        <v>44959</v>
      </c>
      <c r="C283" s="8">
        <v>2023</v>
      </c>
      <c r="D283" s="8" t="b">
        <f t="shared" si="4"/>
        <v>1</v>
      </c>
      <c r="E283">
        <v>75.87</v>
      </c>
    </row>
    <row r="284" spans="2:5">
      <c r="B284" s="7">
        <v>44960</v>
      </c>
      <c r="C284" s="8">
        <v>2023</v>
      </c>
      <c r="D284" s="8" t="b">
        <f t="shared" si="4"/>
        <v>1</v>
      </c>
      <c r="E284">
        <v>73.400000000000006</v>
      </c>
    </row>
    <row r="285" spans="2:5">
      <c r="B285" s="7">
        <v>44963</v>
      </c>
      <c r="C285" s="8">
        <v>2023</v>
      </c>
      <c r="D285" s="8" t="b">
        <f t="shared" si="4"/>
        <v>1</v>
      </c>
      <c r="E285">
        <v>74.11</v>
      </c>
    </row>
    <row r="286" spans="2:5">
      <c r="B286" s="7">
        <v>44964</v>
      </c>
      <c r="C286" s="8">
        <v>2023</v>
      </c>
      <c r="D286" s="8" t="b">
        <f t="shared" si="4"/>
        <v>1</v>
      </c>
      <c r="E286">
        <v>77.17</v>
      </c>
    </row>
    <row r="287" spans="2:5">
      <c r="B287" s="7">
        <v>44965</v>
      </c>
      <c r="C287" s="8">
        <v>2023</v>
      </c>
      <c r="D287" s="8" t="b">
        <f t="shared" si="4"/>
        <v>1</v>
      </c>
      <c r="E287">
        <v>78.47</v>
      </c>
    </row>
    <row r="288" spans="2:5">
      <c r="B288" s="7">
        <v>44966</v>
      </c>
      <c r="C288" s="8">
        <v>2023</v>
      </c>
      <c r="D288" s="8" t="b">
        <f t="shared" si="4"/>
        <v>1</v>
      </c>
      <c r="E288">
        <v>78.040000000000006</v>
      </c>
    </row>
    <row r="289" spans="2:5">
      <c r="B289" s="7">
        <v>44967</v>
      </c>
      <c r="C289" s="8">
        <v>2023</v>
      </c>
      <c r="D289" s="8" t="b">
        <f t="shared" si="4"/>
        <v>1</v>
      </c>
      <c r="E289">
        <v>79.739999999999995</v>
      </c>
    </row>
    <row r="290" spans="2:5">
      <c r="B290" s="7">
        <v>44970</v>
      </c>
      <c r="C290" s="8">
        <v>2023</v>
      </c>
      <c r="D290" s="8" t="b">
        <f t="shared" si="4"/>
        <v>1</v>
      </c>
      <c r="E290">
        <v>80.14</v>
      </c>
    </row>
    <row r="291" spans="2:5">
      <c r="B291" s="7">
        <v>44971</v>
      </c>
      <c r="C291" s="8">
        <v>2023</v>
      </c>
      <c r="D291" s="8" t="b">
        <f t="shared" si="4"/>
        <v>1</v>
      </c>
      <c r="E291">
        <v>79.08</v>
      </c>
    </row>
    <row r="292" spans="2:5">
      <c r="B292" s="7">
        <v>44972</v>
      </c>
      <c r="C292" s="8">
        <v>2023</v>
      </c>
      <c r="D292" s="8" t="b">
        <f t="shared" si="4"/>
        <v>1</v>
      </c>
      <c r="E292">
        <v>78.569999999999993</v>
      </c>
    </row>
    <row r="293" spans="2:5">
      <c r="B293" s="7">
        <v>44973</v>
      </c>
      <c r="C293" s="8">
        <v>2023</v>
      </c>
      <c r="D293" s="8" t="b">
        <f t="shared" si="4"/>
        <v>1</v>
      </c>
      <c r="E293">
        <v>78.45</v>
      </c>
    </row>
    <row r="294" spans="2:5">
      <c r="B294" s="7">
        <v>44974</v>
      </c>
      <c r="C294" s="8">
        <v>2023</v>
      </c>
      <c r="D294" s="8" t="b">
        <f t="shared" si="4"/>
        <v>1</v>
      </c>
      <c r="E294">
        <v>76.31</v>
      </c>
    </row>
    <row r="295" spans="2:5">
      <c r="B295" s="7">
        <v>44977</v>
      </c>
      <c r="C295" s="8">
        <v>2023</v>
      </c>
      <c r="D295" s="8" t="b">
        <f t="shared" si="4"/>
        <v>0</v>
      </c>
    </row>
    <row r="296" spans="2:5">
      <c r="B296" s="7">
        <v>44978</v>
      </c>
      <c r="C296" s="8">
        <v>2023</v>
      </c>
      <c r="D296" s="8" t="b">
        <f t="shared" si="4"/>
        <v>1</v>
      </c>
      <c r="E296">
        <v>76.28</v>
      </c>
    </row>
    <row r="297" spans="2:5">
      <c r="B297" s="7">
        <v>44979</v>
      </c>
      <c r="C297" s="8">
        <v>2023</v>
      </c>
      <c r="D297" s="8" t="b">
        <f t="shared" si="4"/>
        <v>1</v>
      </c>
      <c r="E297">
        <v>73.95</v>
      </c>
    </row>
    <row r="298" spans="2:5">
      <c r="B298" s="7">
        <v>44980</v>
      </c>
      <c r="C298" s="8">
        <v>2023</v>
      </c>
      <c r="D298" s="8" t="b">
        <f t="shared" si="4"/>
        <v>1</v>
      </c>
      <c r="E298">
        <v>75.260000000000005</v>
      </c>
    </row>
    <row r="299" spans="2:5">
      <c r="B299" s="7">
        <v>44981</v>
      </c>
      <c r="C299" s="8">
        <v>2023</v>
      </c>
      <c r="D299" s="8" t="b">
        <f t="shared" si="4"/>
        <v>1</v>
      </c>
      <c r="E299">
        <v>76.19</v>
      </c>
    </row>
    <row r="300" spans="2:5">
      <c r="B300" s="7">
        <v>44984</v>
      </c>
      <c r="C300" s="8">
        <v>2023</v>
      </c>
      <c r="D300" s="8" t="b">
        <f t="shared" si="4"/>
        <v>1</v>
      </c>
      <c r="E300">
        <v>75.569999999999993</v>
      </c>
    </row>
    <row r="301" spans="2:5">
      <c r="B301" s="7">
        <v>44985</v>
      </c>
      <c r="C301" s="8">
        <v>2023</v>
      </c>
      <c r="D301" s="8" t="b">
        <f t="shared" si="4"/>
        <v>1</v>
      </c>
      <c r="E301">
        <v>76.88</v>
      </c>
    </row>
    <row r="302" spans="2:5">
      <c r="B302" s="7">
        <v>44986</v>
      </c>
      <c r="C302" s="8">
        <v>2023</v>
      </c>
      <c r="D302" s="8" t="b">
        <f t="shared" si="4"/>
        <v>1</v>
      </c>
      <c r="E302">
        <v>77.569999999999993</v>
      </c>
    </row>
    <row r="303" spans="2:5">
      <c r="B303" s="7">
        <v>44987</v>
      </c>
      <c r="C303" s="8">
        <v>2023</v>
      </c>
      <c r="D303" s="8" t="b">
        <f t="shared" si="4"/>
        <v>1</v>
      </c>
      <c r="E303">
        <v>78.05</v>
      </c>
    </row>
    <row r="304" spans="2:5">
      <c r="B304" s="7">
        <v>44988</v>
      </c>
      <c r="C304" s="8">
        <v>2023</v>
      </c>
      <c r="D304" s="8" t="b">
        <f t="shared" si="4"/>
        <v>1</v>
      </c>
      <c r="E304">
        <v>79.62</v>
      </c>
    </row>
    <row r="305" spans="2:5">
      <c r="B305" s="7">
        <v>44991</v>
      </c>
      <c r="C305" s="8">
        <v>2023</v>
      </c>
      <c r="D305" s="8" t="b">
        <f t="shared" si="4"/>
        <v>1</v>
      </c>
      <c r="E305">
        <v>80.39</v>
      </c>
    </row>
    <row r="306" spans="2:5">
      <c r="B306" s="7">
        <v>44992</v>
      </c>
      <c r="C306" s="8">
        <v>2023</v>
      </c>
      <c r="D306" s="8" t="b">
        <f t="shared" si="4"/>
        <v>1</v>
      </c>
      <c r="E306">
        <v>77.45</v>
      </c>
    </row>
    <row r="307" spans="2:5">
      <c r="B307" s="7">
        <v>44993</v>
      </c>
      <c r="C307" s="8">
        <v>2023</v>
      </c>
      <c r="D307" s="8" t="b">
        <f t="shared" si="4"/>
        <v>1</v>
      </c>
      <c r="E307">
        <v>76.56</v>
      </c>
    </row>
    <row r="308" spans="2:5">
      <c r="B308" s="7">
        <v>44994</v>
      </c>
      <c r="C308" s="8">
        <v>2023</v>
      </c>
      <c r="D308" s="8" t="b">
        <f t="shared" si="4"/>
        <v>1</v>
      </c>
      <c r="E308">
        <v>75.599999999999994</v>
      </c>
    </row>
    <row r="309" spans="2:5">
      <c r="B309" s="7">
        <v>44995</v>
      </c>
      <c r="C309" s="8">
        <v>2023</v>
      </c>
      <c r="D309" s="8" t="b">
        <f t="shared" si="4"/>
        <v>1</v>
      </c>
      <c r="E309">
        <v>76.55</v>
      </c>
    </row>
    <row r="310" spans="2:5">
      <c r="B310" s="7">
        <v>44998</v>
      </c>
      <c r="C310" s="8">
        <v>2023</v>
      </c>
      <c r="D310" s="8" t="b">
        <f t="shared" si="4"/>
        <v>1</v>
      </c>
      <c r="E310">
        <v>74.680000000000007</v>
      </c>
    </row>
    <row r="311" spans="2:5">
      <c r="B311" s="7">
        <v>44999</v>
      </c>
      <c r="C311" s="8">
        <v>2023</v>
      </c>
      <c r="D311" s="8" t="b">
        <f t="shared" si="4"/>
        <v>1</v>
      </c>
      <c r="E311">
        <v>71.180000000000007</v>
      </c>
    </row>
    <row r="312" spans="2:5">
      <c r="B312" s="7">
        <v>45000</v>
      </c>
      <c r="C312" s="8">
        <v>2023</v>
      </c>
      <c r="D312" s="8" t="b">
        <f t="shared" si="4"/>
        <v>1</v>
      </c>
      <c r="E312">
        <v>67.38</v>
      </c>
    </row>
    <row r="313" spans="2:5">
      <c r="B313" s="7">
        <v>45001</v>
      </c>
      <c r="C313" s="8">
        <v>2023</v>
      </c>
      <c r="D313" s="8" t="b">
        <f t="shared" si="4"/>
        <v>1</v>
      </c>
      <c r="E313">
        <v>68.150000000000006</v>
      </c>
    </row>
    <row r="314" spans="2:5">
      <c r="B314" s="7">
        <v>45002</v>
      </c>
      <c r="C314" s="8">
        <v>2023</v>
      </c>
      <c r="D314" s="8" t="b">
        <f t="shared" si="4"/>
        <v>1</v>
      </c>
      <c r="E314">
        <v>66.61</v>
      </c>
    </row>
    <row r="315" spans="2:5">
      <c r="B315" s="7">
        <v>45005</v>
      </c>
      <c r="C315" s="8">
        <v>2023</v>
      </c>
      <c r="D315" s="8" t="b">
        <f t="shared" si="4"/>
        <v>1</v>
      </c>
      <c r="E315">
        <v>67.56</v>
      </c>
    </row>
    <row r="316" spans="2:5">
      <c r="B316" s="7">
        <v>45006</v>
      </c>
      <c r="C316" s="8">
        <v>2023</v>
      </c>
      <c r="D316" s="8" t="b">
        <f t="shared" si="4"/>
        <v>1</v>
      </c>
      <c r="E316">
        <v>69.400000000000006</v>
      </c>
    </row>
    <row r="317" spans="2:5">
      <c r="B317" s="7">
        <v>45007</v>
      </c>
      <c r="C317" s="8">
        <v>2023</v>
      </c>
      <c r="D317" s="8" t="b">
        <f t="shared" si="4"/>
        <v>1</v>
      </c>
      <c r="E317">
        <v>70.709999999999994</v>
      </c>
    </row>
    <row r="318" spans="2:5">
      <c r="B318" s="7">
        <v>45008</v>
      </c>
      <c r="C318" s="8">
        <v>2023</v>
      </c>
      <c r="D318" s="8" t="b">
        <f t="shared" si="4"/>
        <v>1</v>
      </c>
      <c r="E318">
        <v>69.77</v>
      </c>
    </row>
    <row r="319" spans="2:5">
      <c r="B319" s="7">
        <v>45009</v>
      </c>
      <c r="C319" s="8">
        <v>2023</v>
      </c>
      <c r="D319" s="8" t="b">
        <f t="shared" si="4"/>
        <v>1</v>
      </c>
      <c r="E319">
        <v>69.22</v>
      </c>
    </row>
    <row r="320" spans="2:5">
      <c r="B320" s="7">
        <v>45012</v>
      </c>
      <c r="C320" s="8">
        <v>2023</v>
      </c>
      <c r="D320" s="8" t="b">
        <f t="shared" si="4"/>
        <v>1</v>
      </c>
      <c r="E320">
        <v>72.87</v>
      </c>
    </row>
    <row r="321" spans="2:5">
      <c r="B321" s="7">
        <v>45013</v>
      </c>
      <c r="C321" s="8">
        <v>2023</v>
      </c>
      <c r="D321" s="8" t="b">
        <f t="shared" si="4"/>
        <v>1</v>
      </c>
      <c r="E321">
        <v>73.12</v>
      </c>
    </row>
    <row r="322" spans="2:5">
      <c r="B322" s="7">
        <v>45014</v>
      </c>
      <c r="C322" s="8">
        <v>2023</v>
      </c>
      <c r="D322" s="8" t="b">
        <f t="shared" si="4"/>
        <v>1</v>
      </c>
      <c r="E322">
        <v>72.95</v>
      </c>
    </row>
    <row r="323" spans="2:5">
      <c r="B323" s="7">
        <v>45015</v>
      </c>
      <c r="C323" s="8">
        <v>2023</v>
      </c>
      <c r="D323" s="8" t="b">
        <f t="shared" si="4"/>
        <v>1</v>
      </c>
      <c r="E323">
        <v>74.319999999999993</v>
      </c>
    </row>
    <row r="324" spans="2:5">
      <c r="B324" s="7">
        <v>45016</v>
      </c>
      <c r="C324" s="8">
        <v>2023</v>
      </c>
      <c r="D324" s="8" t="b">
        <f t="shared" ref="D324:D387" si="5">ISNUMBER(E324)</f>
        <v>1</v>
      </c>
      <c r="E324">
        <v>75.680000000000007</v>
      </c>
    </row>
    <row r="325" spans="2:5">
      <c r="B325" s="7">
        <v>45019</v>
      </c>
      <c r="C325" s="8">
        <v>2023</v>
      </c>
      <c r="D325" s="8" t="b">
        <f t="shared" si="5"/>
        <v>1</v>
      </c>
      <c r="E325">
        <v>80.400000000000006</v>
      </c>
    </row>
    <row r="326" spans="2:5">
      <c r="B326" s="7">
        <v>45020</v>
      </c>
      <c r="C326" s="8">
        <v>2023</v>
      </c>
      <c r="D326" s="8" t="b">
        <f t="shared" si="5"/>
        <v>1</v>
      </c>
      <c r="E326">
        <v>80.7</v>
      </c>
    </row>
    <row r="327" spans="2:5">
      <c r="B327" s="7">
        <v>45021</v>
      </c>
      <c r="C327" s="8">
        <v>2023</v>
      </c>
      <c r="D327" s="8" t="b">
        <f t="shared" si="5"/>
        <v>1</v>
      </c>
      <c r="E327">
        <v>80.69</v>
      </c>
    </row>
    <row r="328" spans="2:5">
      <c r="B328" s="7">
        <v>45022</v>
      </c>
      <c r="C328" s="8">
        <v>2023</v>
      </c>
      <c r="D328" s="8" t="b">
        <f t="shared" si="5"/>
        <v>1</v>
      </c>
      <c r="E328">
        <v>80.7</v>
      </c>
    </row>
    <row r="329" spans="2:5">
      <c r="B329" s="7">
        <v>45026</v>
      </c>
      <c r="C329" s="8">
        <v>2023</v>
      </c>
      <c r="D329" s="8" t="b">
        <f t="shared" si="5"/>
        <v>1</v>
      </c>
      <c r="E329">
        <v>79.790000000000006</v>
      </c>
    </row>
    <row r="330" spans="2:5">
      <c r="B330" s="7">
        <v>45027</v>
      </c>
      <c r="C330" s="8">
        <v>2023</v>
      </c>
      <c r="D330" s="8" t="b">
        <f t="shared" si="5"/>
        <v>1</v>
      </c>
      <c r="E330">
        <v>81.540000000000006</v>
      </c>
    </row>
    <row r="331" spans="2:5">
      <c r="B331" s="7">
        <v>45028</v>
      </c>
      <c r="C331" s="8">
        <v>2023</v>
      </c>
      <c r="D331" s="8" t="b">
        <f t="shared" si="5"/>
        <v>1</v>
      </c>
      <c r="E331">
        <v>83.26</v>
      </c>
    </row>
    <row r="332" spans="2:5">
      <c r="B332" s="7">
        <v>45029</v>
      </c>
      <c r="C332" s="8">
        <v>2023</v>
      </c>
      <c r="D332" s="8" t="b">
        <f t="shared" si="5"/>
        <v>1</v>
      </c>
      <c r="E332">
        <v>82.16</v>
      </c>
    </row>
    <row r="333" spans="2:5">
      <c r="B333" s="7">
        <v>45030</v>
      </c>
      <c r="C333" s="8">
        <v>2023</v>
      </c>
      <c r="D333" s="8" t="b">
        <f t="shared" si="5"/>
        <v>1</v>
      </c>
      <c r="E333">
        <v>82.58</v>
      </c>
    </row>
    <row r="334" spans="2:5">
      <c r="B334" s="7">
        <v>45033</v>
      </c>
      <c r="C334" s="8">
        <v>2023</v>
      </c>
      <c r="D334" s="8" t="b">
        <f t="shared" si="5"/>
        <v>1</v>
      </c>
      <c r="E334">
        <v>80.930000000000007</v>
      </c>
    </row>
    <row r="335" spans="2:5">
      <c r="B335" s="7">
        <v>45034</v>
      </c>
      <c r="C335" s="8">
        <v>2023</v>
      </c>
      <c r="D335" s="8" t="b">
        <f t="shared" si="5"/>
        <v>1</v>
      </c>
      <c r="E335">
        <v>80.849999999999994</v>
      </c>
    </row>
    <row r="336" spans="2:5">
      <c r="B336" s="7">
        <v>45035</v>
      </c>
      <c r="C336" s="8">
        <v>2023</v>
      </c>
      <c r="D336" s="8" t="b">
        <f t="shared" si="5"/>
        <v>1</v>
      </c>
      <c r="E336">
        <v>79.180000000000007</v>
      </c>
    </row>
    <row r="337" spans="2:5">
      <c r="B337" s="7">
        <v>45036</v>
      </c>
      <c r="C337" s="8">
        <v>2023</v>
      </c>
      <c r="D337" s="8" t="b">
        <f t="shared" si="5"/>
        <v>1</v>
      </c>
      <c r="E337">
        <v>77.27</v>
      </c>
    </row>
    <row r="338" spans="2:5">
      <c r="B338" s="7">
        <v>45037</v>
      </c>
      <c r="C338" s="8">
        <v>2023</v>
      </c>
      <c r="D338" s="8" t="b">
        <f t="shared" si="5"/>
        <v>1</v>
      </c>
      <c r="E338">
        <v>77.86</v>
      </c>
    </row>
    <row r="339" spans="2:5">
      <c r="B339" s="7">
        <v>45040</v>
      </c>
      <c r="C339" s="8">
        <v>2023</v>
      </c>
      <c r="D339" s="8" t="b">
        <f t="shared" si="5"/>
        <v>1</v>
      </c>
      <c r="E339">
        <v>78.64</v>
      </c>
    </row>
    <row r="340" spans="2:5">
      <c r="B340" s="7">
        <v>45041</v>
      </c>
      <c r="C340" s="8">
        <v>2023</v>
      </c>
      <c r="D340" s="8" t="b">
        <f t="shared" si="5"/>
        <v>1</v>
      </c>
      <c r="E340">
        <v>77.05</v>
      </c>
    </row>
    <row r="341" spans="2:5">
      <c r="B341" s="7">
        <v>45042</v>
      </c>
      <c r="C341" s="8">
        <v>2023</v>
      </c>
      <c r="D341" s="8" t="b">
        <f t="shared" si="5"/>
        <v>1</v>
      </c>
      <c r="E341">
        <v>74.33</v>
      </c>
    </row>
    <row r="342" spans="2:5">
      <c r="B342" s="7">
        <v>45043</v>
      </c>
      <c r="C342" s="8">
        <v>2023</v>
      </c>
      <c r="D342" s="8" t="b">
        <f t="shared" si="5"/>
        <v>1</v>
      </c>
      <c r="E342">
        <v>74.77</v>
      </c>
    </row>
    <row r="343" spans="2:5">
      <c r="B343" s="7">
        <v>45044</v>
      </c>
      <c r="C343" s="8">
        <v>2023</v>
      </c>
      <c r="D343" s="8" t="b">
        <f t="shared" si="5"/>
        <v>1</v>
      </c>
      <c r="E343">
        <v>76.78</v>
      </c>
    </row>
    <row r="344" spans="2:5">
      <c r="B344" s="7">
        <v>45047</v>
      </c>
      <c r="C344" s="8">
        <v>2023</v>
      </c>
      <c r="D344" s="8" t="b">
        <f t="shared" si="5"/>
        <v>1</v>
      </c>
      <c r="E344">
        <v>75.650000000000006</v>
      </c>
    </row>
    <row r="345" spans="2:5">
      <c r="B345" s="7">
        <v>45048</v>
      </c>
      <c r="C345" s="8">
        <v>2023</v>
      </c>
      <c r="D345" s="8" t="b">
        <f t="shared" si="5"/>
        <v>1</v>
      </c>
      <c r="E345">
        <v>71.709999999999994</v>
      </c>
    </row>
    <row r="346" spans="2:5">
      <c r="B346" s="7">
        <v>45049</v>
      </c>
      <c r="C346" s="8">
        <v>2023</v>
      </c>
      <c r="D346" s="8" t="b">
        <f t="shared" si="5"/>
        <v>1</v>
      </c>
      <c r="E346">
        <v>68.62</v>
      </c>
    </row>
    <row r="347" spans="2:5">
      <c r="B347" s="7">
        <v>45050</v>
      </c>
      <c r="C347" s="8">
        <v>2023</v>
      </c>
      <c r="D347" s="8" t="b">
        <f t="shared" si="5"/>
        <v>1</v>
      </c>
      <c r="E347">
        <v>68.52</v>
      </c>
    </row>
    <row r="348" spans="2:5">
      <c r="B348" s="7">
        <v>45051</v>
      </c>
      <c r="C348" s="8">
        <v>2023</v>
      </c>
      <c r="D348" s="8" t="b">
        <f t="shared" si="5"/>
        <v>1</v>
      </c>
      <c r="E348">
        <v>71.319999999999993</v>
      </c>
    </row>
    <row r="349" spans="2:5">
      <c r="B349" s="7">
        <v>45054</v>
      </c>
      <c r="C349" s="8">
        <v>2023</v>
      </c>
      <c r="D349" s="8" t="b">
        <f t="shared" si="5"/>
        <v>1</v>
      </c>
      <c r="E349">
        <v>73.13</v>
      </c>
    </row>
    <row r="350" spans="2:5">
      <c r="B350" s="7">
        <v>45055</v>
      </c>
      <c r="C350" s="8">
        <v>2023</v>
      </c>
      <c r="D350" s="8" t="b">
        <f t="shared" si="5"/>
        <v>1</v>
      </c>
      <c r="E350">
        <v>73.680000000000007</v>
      </c>
    </row>
    <row r="351" spans="2:5">
      <c r="B351" s="7">
        <v>45056</v>
      </c>
      <c r="C351" s="8">
        <v>2023</v>
      </c>
      <c r="D351" s="8" t="b">
        <f t="shared" si="5"/>
        <v>1</v>
      </c>
      <c r="E351">
        <v>72.53</v>
      </c>
    </row>
    <row r="352" spans="2:5">
      <c r="B352" s="7">
        <v>45057</v>
      </c>
      <c r="C352" s="8">
        <v>2023</v>
      </c>
      <c r="D352" s="8" t="b">
        <f t="shared" si="5"/>
        <v>1</v>
      </c>
      <c r="E352">
        <v>70.81</v>
      </c>
    </row>
    <row r="353" spans="2:5">
      <c r="B353" s="7">
        <v>45058</v>
      </c>
      <c r="C353" s="8">
        <v>2023</v>
      </c>
      <c r="D353" s="8" t="b">
        <f t="shared" si="5"/>
        <v>1</v>
      </c>
      <c r="E353">
        <v>70.02</v>
      </c>
    </row>
    <row r="354" spans="2:5">
      <c r="B354" s="7">
        <v>45061</v>
      </c>
      <c r="C354" s="8">
        <v>2023</v>
      </c>
      <c r="D354" s="8" t="b">
        <f t="shared" si="5"/>
        <v>1</v>
      </c>
      <c r="E354">
        <v>71.069999999999993</v>
      </c>
    </row>
    <row r="355" spans="2:5">
      <c r="B355" s="7">
        <v>45062</v>
      </c>
      <c r="C355" s="8">
        <v>2023</v>
      </c>
      <c r="D355" s="8" t="b">
        <f t="shared" si="5"/>
        <v>1</v>
      </c>
      <c r="E355">
        <v>70.849999999999994</v>
      </c>
    </row>
    <row r="356" spans="2:5">
      <c r="B356" s="7">
        <v>45063</v>
      </c>
      <c r="C356" s="8">
        <v>2023</v>
      </c>
      <c r="D356" s="8" t="b">
        <f t="shared" si="5"/>
        <v>1</v>
      </c>
      <c r="E356">
        <v>72.78</v>
      </c>
    </row>
    <row r="357" spans="2:5">
      <c r="B357" s="7">
        <v>45064</v>
      </c>
      <c r="C357" s="8">
        <v>2023</v>
      </c>
      <c r="D357" s="8" t="b">
        <f t="shared" si="5"/>
        <v>1</v>
      </c>
      <c r="E357">
        <v>71.819999999999993</v>
      </c>
    </row>
    <row r="358" spans="2:5">
      <c r="B358" s="7">
        <v>45065</v>
      </c>
      <c r="C358" s="8">
        <v>2023</v>
      </c>
      <c r="D358" s="8" t="b">
        <f t="shared" si="5"/>
        <v>1</v>
      </c>
      <c r="E358">
        <v>71.569999999999993</v>
      </c>
    </row>
    <row r="359" spans="2:5">
      <c r="B359" s="7">
        <v>45068</v>
      </c>
      <c r="C359" s="8">
        <v>2023</v>
      </c>
      <c r="D359" s="8" t="b">
        <f t="shared" si="5"/>
        <v>1</v>
      </c>
      <c r="E359">
        <v>71.81</v>
      </c>
    </row>
    <row r="360" spans="2:5">
      <c r="B360" s="7">
        <v>45069</v>
      </c>
      <c r="C360" s="8">
        <v>2023</v>
      </c>
      <c r="D360" s="8" t="b">
        <f t="shared" si="5"/>
        <v>1</v>
      </c>
      <c r="E360">
        <v>72.87</v>
      </c>
    </row>
    <row r="361" spans="2:5">
      <c r="B361" s="7">
        <v>45070</v>
      </c>
      <c r="C361" s="8">
        <v>2023</v>
      </c>
      <c r="D361" s="8" t="b">
        <f t="shared" si="5"/>
        <v>1</v>
      </c>
      <c r="E361">
        <v>74.37</v>
      </c>
    </row>
    <row r="362" spans="2:5">
      <c r="B362" s="7">
        <v>45071</v>
      </c>
      <c r="C362" s="8">
        <v>2023</v>
      </c>
      <c r="D362" s="8" t="b">
        <f t="shared" si="5"/>
        <v>1</v>
      </c>
      <c r="E362">
        <v>71.680000000000007</v>
      </c>
    </row>
    <row r="363" spans="2:5">
      <c r="B363" s="7">
        <v>45072</v>
      </c>
      <c r="C363" s="8">
        <v>2023</v>
      </c>
      <c r="D363" s="8" t="b">
        <f t="shared" si="5"/>
        <v>1</v>
      </c>
      <c r="E363">
        <v>72.349999999999994</v>
      </c>
    </row>
    <row r="364" spans="2:5">
      <c r="B364" s="7">
        <v>45076</v>
      </c>
      <c r="C364" s="8">
        <v>2023</v>
      </c>
      <c r="D364" s="8" t="b">
        <f t="shared" si="5"/>
        <v>1</v>
      </c>
      <c r="E364">
        <v>69.45</v>
      </c>
    </row>
    <row r="365" spans="2:5">
      <c r="B365" s="7">
        <v>45077</v>
      </c>
      <c r="C365" s="8">
        <v>2023</v>
      </c>
      <c r="D365" s="8" t="b">
        <f t="shared" si="5"/>
        <v>1</v>
      </c>
      <c r="E365">
        <v>68.11</v>
      </c>
    </row>
    <row r="366" spans="2:5">
      <c r="B366" s="7">
        <v>45078</v>
      </c>
      <c r="C366" s="8">
        <v>2023</v>
      </c>
      <c r="D366" s="8" t="b">
        <f t="shared" si="5"/>
        <v>1</v>
      </c>
      <c r="E366">
        <v>70.09</v>
      </c>
    </row>
    <row r="367" spans="2:5">
      <c r="B367" s="7">
        <v>45079</v>
      </c>
      <c r="C367" s="8">
        <v>2023</v>
      </c>
      <c r="D367" s="8" t="b">
        <f t="shared" si="5"/>
        <v>1</v>
      </c>
      <c r="E367">
        <v>71.760000000000005</v>
      </c>
    </row>
    <row r="368" spans="2:5">
      <c r="B368" s="7">
        <v>45082</v>
      </c>
      <c r="C368" s="8">
        <v>2023</v>
      </c>
      <c r="D368" s="8" t="b">
        <f t="shared" si="5"/>
        <v>1</v>
      </c>
      <c r="E368">
        <v>72.14</v>
      </c>
    </row>
    <row r="369" spans="2:5">
      <c r="B369" s="7">
        <v>45083</v>
      </c>
      <c r="C369" s="8">
        <v>2023</v>
      </c>
      <c r="D369" s="8" t="b">
        <f t="shared" si="5"/>
        <v>1</v>
      </c>
      <c r="E369">
        <v>71.709999999999994</v>
      </c>
    </row>
    <row r="370" spans="2:5">
      <c r="B370" s="7">
        <v>45084</v>
      </c>
      <c r="C370" s="8">
        <v>2023</v>
      </c>
      <c r="D370" s="8" t="b">
        <f t="shared" si="5"/>
        <v>1</v>
      </c>
      <c r="E370">
        <v>72.52</v>
      </c>
    </row>
    <row r="371" spans="2:5">
      <c r="B371" s="7">
        <v>45085</v>
      </c>
      <c r="C371" s="8">
        <v>2023</v>
      </c>
      <c r="D371" s="8" t="b">
        <f t="shared" si="5"/>
        <v>1</v>
      </c>
      <c r="E371">
        <v>71.28</v>
      </c>
    </row>
    <row r="372" spans="2:5">
      <c r="B372" s="7">
        <v>45086</v>
      </c>
      <c r="C372" s="8">
        <v>2023</v>
      </c>
      <c r="D372" s="8" t="b">
        <f t="shared" si="5"/>
        <v>1</v>
      </c>
      <c r="E372">
        <v>70.16</v>
      </c>
    </row>
    <row r="373" spans="2:5">
      <c r="B373" s="7">
        <v>45089</v>
      </c>
      <c r="C373" s="8">
        <v>2023</v>
      </c>
      <c r="D373" s="8" t="b">
        <f t="shared" si="5"/>
        <v>1</v>
      </c>
      <c r="E373">
        <v>67.08</v>
      </c>
    </row>
    <row r="374" spans="2:5">
      <c r="B374" s="7">
        <v>45090</v>
      </c>
      <c r="C374" s="8">
        <v>2023</v>
      </c>
      <c r="D374" s="8" t="b">
        <f t="shared" si="5"/>
        <v>1</v>
      </c>
      <c r="E374">
        <v>69.39</v>
      </c>
    </row>
    <row r="375" spans="2:5">
      <c r="B375" s="7">
        <v>45091</v>
      </c>
      <c r="C375" s="8">
        <v>2023</v>
      </c>
      <c r="D375" s="8" t="b">
        <f t="shared" si="5"/>
        <v>1</v>
      </c>
      <c r="E375">
        <v>68.22</v>
      </c>
    </row>
    <row r="376" spans="2:5">
      <c r="B376" s="7">
        <v>45092</v>
      </c>
      <c r="C376" s="8">
        <v>2023</v>
      </c>
      <c r="D376" s="8" t="b">
        <f t="shared" si="5"/>
        <v>1</v>
      </c>
      <c r="E376">
        <v>70.61</v>
      </c>
    </row>
    <row r="377" spans="2:5">
      <c r="B377" s="7">
        <v>45093</v>
      </c>
      <c r="C377" s="8">
        <v>2023</v>
      </c>
      <c r="D377" s="8" t="b">
        <f t="shared" si="5"/>
        <v>1</v>
      </c>
      <c r="E377">
        <v>71.81</v>
      </c>
    </row>
    <row r="378" spans="2:5">
      <c r="B378" s="7">
        <v>45096</v>
      </c>
      <c r="C378" s="8">
        <v>2023</v>
      </c>
      <c r="D378" s="8" t="b">
        <f t="shared" si="5"/>
        <v>0</v>
      </c>
    </row>
    <row r="379" spans="2:5">
      <c r="B379" s="7">
        <v>45097</v>
      </c>
      <c r="C379" s="8">
        <v>2023</v>
      </c>
      <c r="D379" s="8" t="b">
        <f t="shared" si="5"/>
        <v>1</v>
      </c>
      <c r="E379">
        <v>70.94</v>
      </c>
    </row>
    <row r="380" spans="2:5">
      <c r="B380" s="7">
        <v>45098</v>
      </c>
      <c r="C380" s="8">
        <v>2023</v>
      </c>
      <c r="D380" s="8" t="b">
        <f t="shared" si="5"/>
        <v>1</v>
      </c>
      <c r="E380">
        <v>72.55</v>
      </c>
    </row>
    <row r="381" spans="2:5">
      <c r="B381" s="7">
        <v>45099</v>
      </c>
      <c r="C381" s="8">
        <v>2023</v>
      </c>
      <c r="D381" s="8" t="b">
        <f t="shared" si="5"/>
        <v>1</v>
      </c>
      <c r="E381">
        <v>69.22</v>
      </c>
    </row>
    <row r="382" spans="2:5">
      <c r="B382" s="7">
        <v>45100</v>
      </c>
      <c r="C382" s="8">
        <v>2023</v>
      </c>
      <c r="D382" s="8" t="b">
        <f t="shared" si="5"/>
        <v>1</v>
      </c>
      <c r="E382">
        <v>68.91</v>
      </c>
    </row>
    <row r="383" spans="2:5">
      <c r="B383" s="7">
        <v>45103</v>
      </c>
      <c r="C383" s="8">
        <v>2023</v>
      </c>
      <c r="D383" s="8" t="b">
        <f t="shared" si="5"/>
        <v>1</v>
      </c>
      <c r="E383">
        <v>69.09</v>
      </c>
    </row>
    <row r="384" spans="2:5">
      <c r="B384" s="7">
        <v>45104</v>
      </c>
      <c r="C384" s="8">
        <v>2023</v>
      </c>
      <c r="D384" s="8" t="b">
        <f t="shared" si="5"/>
        <v>1</v>
      </c>
      <c r="E384">
        <v>67.680000000000007</v>
      </c>
    </row>
    <row r="385" spans="2:5">
      <c r="B385" s="7">
        <v>45105</v>
      </c>
      <c r="C385" s="8">
        <v>2023</v>
      </c>
      <c r="D385" s="8" t="b">
        <f t="shared" si="5"/>
        <v>1</v>
      </c>
      <c r="E385">
        <v>69.540000000000006</v>
      </c>
    </row>
    <row r="386" spans="2:5">
      <c r="B386" s="7">
        <v>45106</v>
      </c>
      <c r="C386" s="8">
        <v>2023</v>
      </c>
      <c r="D386" s="8" t="b">
        <f t="shared" si="5"/>
        <v>1</v>
      </c>
      <c r="E386">
        <v>69.849999999999994</v>
      </c>
    </row>
    <row r="387" spans="2:5">
      <c r="B387" s="7">
        <v>45107</v>
      </c>
      <c r="C387" s="8">
        <v>2023</v>
      </c>
      <c r="D387" s="8" t="b">
        <f t="shared" si="5"/>
        <v>1</v>
      </c>
      <c r="E387">
        <v>70.66</v>
      </c>
    </row>
    <row r="388" spans="2:5">
      <c r="B388" s="7">
        <v>45110</v>
      </c>
      <c r="C388" s="8">
        <v>2023</v>
      </c>
      <c r="D388" s="8" t="b">
        <f t="shared" ref="D388:D451" si="6">ISNUMBER(E388)</f>
        <v>1</v>
      </c>
      <c r="E388">
        <v>69.709999999999994</v>
      </c>
    </row>
    <row r="389" spans="2:5">
      <c r="B389" s="7">
        <v>45111</v>
      </c>
      <c r="C389" s="8">
        <v>2023</v>
      </c>
      <c r="D389" s="8" t="b">
        <f t="shared" si="6"/>
        <v>0</v>
      </c>
    </row>
    <row r="390" spans="2:5">
      <c r="B390" s="7">
        <v>45112</v>
      </c>
      <c r="C390" s="8">
        <v>2023</v>
      </c>
      <c r="D390" s="8" t="b">
        <f t="shared" si="6"/>
        <v>1</v>
      </c>
      <c r="E390">
        <v>71.78</v>
      </c>
    </row>
    <row r="391" spans="2:5">
      <c r="B391" s="7">
        <v>45113</v>
      </c>
      <c r="C391" s="8">
        <v>2023</v>
      </c>
      <c r="D391" s="8" t="b">
        <f t="shared" si="6"/>
        <v>1</v>
      </c>
      <c r="E391">
        <v>71.760000000000005</v>
      </c>
    </row>
    <row r="392" spans="2:5">
      <c r="B392" s="7">
        <v>45114</v>
      </c>
      <c r="C392" s="8">
        <v>2023</v>
      </c>
      <c r="D392" s="8" t="b">
        <f t="shared" si="6"/>
        <v>1</v>
      </c>
      <c r="E392">
        <v>73.91</v>
      </c>
    </row>
    <row r="393" spans="2:5">
      <c r="B393" s="7">
        <v>45117</v>
      </c>
      <c r="C393" s="8">
        <v>2023</v>
      </c>
      <c r="D393" s="8" t="b">
        <f t="shared" si="6"/>
        <v>1</v>
      </c>
      <c r="E393">
        <v>73.05</v>
      </c>
    </row>
    <row r="394" spans="2:5">
      <c r="B394" s="7">
        <v>45118</v>
      </c>
      <c r="C394" s="8">
        <v>2023</v>
      </c>
      <c r="D394" s="8" t="b">
        <f t="shared" si="6"/>
        <v>1</v>
      </c>
      <c r="E394">
        <v>74.87</v>
      </c>
    </row>
    <row r="395" spans="2:5">
      <c r="B395" s="7">
        <v>45119</v>
      </c>
      <c r="C395" s="8">
        <v>2023</v>
      </c>
      <c r="D395" s="8" t="b">
        <f t="shared" si="6"/>
        <v>1</v>
      </c>
      <c r="E395">
        <v>75.77</v>
      </c>
    </row>
    <row r="396" spans="2:5">
      <c r="B396" s="7">
        <v>45120</v>
      </c>
      <c r="C396" s="8">
        <v>2023</v>
      </c>
      <c r="D396" s="8" t="b">
        <f t="shared" si="6"/>
        <v>1</v>
      </c>
      <c r="E396">
        <v>76.86</v>
      </c>
    </row>
    <row r="397" spans="2:5">
      <c r="B397" s="7">
        <v>45121</v>
      </c>
      <c r="C397" s="8">
        <v>2023</v>
      </c>
      <c r="D397" s="8" t="b">
        <f t="shared" si="6"/>
        <v>1</v>
      </c>
      <c r="E397">
        <v>75.44</v>
      </c>
    </row>
    <row r="398" spans="2:5">
      <c r="B398" s="7">
        <v>45124</v>
      </c>
      <c r="C398" s="8">
        <v>2023</v>
      </c>
      <c r="D398" s="8" t="b">
        <f t="shared" si="6"/>
        <v>1</v>
      </c>
      <c r="E398">
        <v>74.17</v>
      </c>
    </row>
    <row r="399" spans="2:5">
      <c r="B399" s="7">
        <v>45125</v>
      </c>
      <c r="C399" s="8">
        <v>2023</v>
      </c>
      <c r="D399" s="8" t="b">
        <f t="shared" si="6"/>
        <v>1</v>
      </c>
      <c r="E399">
        <v>75.760000000000005</v>
      </c>
    </row>
    <row r="400" spans="2:5">
      <c r="B400" s="7">
        <v>45126</v>
      </c>
      <c r="C400" s="8">
        <v>2023</v>
      </c>
      <c r="D400" s="8" t="b">
        <f t="shared" si="6"/>
        <v>1</v>
      </c>
      <c r="E400">
        <v>75.400000000000006</v>
      </c>
    </row>
    <row r="401" spans="2:5">
      <c r="B401" s="7">
        <v>45127</v>
      </c>
      <c r="C401" s="8">
        <v>2023</v>
      </c>
      <c r="D401" s="8" t="b">
        <f t="shared" si="6"/>
        <v>1</v>
      </c>
      <c r="E401">
        <v>75.650000000000006</v>
      </c>
    </row>
    <row r="402" spans="2:5">
      <c r="B402" s="7">
        <v>45128</v>
      </c>
      <c r="C402" s="8">
        <v>2023</v>
      </c>
      <c r="D402" s="8" t="b">
        <f t="shared" si="6"/>
        <v>1</v>
      </c>
      <c r="E402">
        <v>77.06</v>
      </c>
    </row>
    <row r="403" spans="2:5">
      <c r="B403" s="7">
        <v>45131</v>
      </c>
      <c r="C403" s="8">
        <v>2023</v>
      </c>
      <c r="D403" s="8" t="b">
        <f t="shared" si="6"/>
        <v>1</v>
      </c>
      <c r="E403">
        <v>78.81</v>
      </c>
    </row>
    <row r="404" spans="2:5">
      <c r="B404" s="7">
        <v>45132</v>
      </c>
      <c r="C404" s="8">
        <v>2023</v>
      </c>
      <c r="D404" s="8" t="b">
        <f t="shared" si="6"/>
        <v>1</v>
      </c>
      <c r="E404">
        <v>79.760000000000005</v>
      </c>
    </row>
    <row r="405" spans="2:5">
      <c r="B405" s="7">
        <v>45133</v>
      </c>
      <c r="C405" s="8">
        <v>2023</v>
      </c>
      <c r="D405" s="8" t="b">
        <f t="shared" si="6"/>
        <v>1</v>
      </c>
      <c r="E405">
        <v>79.11</v>
      </c>
    </row>
    <row r="406" spans="2:5">
      <c r="B406" s="7">
        <v>45134</v>
      </c>
      <c r="C406" s="8">
        <v>2023</v>
      </c>
      <c r="D406" s="8" t="b">
        <f t="shared" si="6"/>
        <v>1</v>
      </c>
      <c r="E406">
        <v>80.17</v>
      </c>
    </row>
    <row r="407" spans="2:5">
      <c r="B407" s="7">
        <v>45135</v>
      </c>
      <c r="C407" s="8">
        <v>2023</v>
      </c>
      <c r="D407" s="8" t="b">
        <f t="shared" si="6"/>
        <v>1</v>
      </c>
      <c r="E407">
        <v>80.55</v>
      </c>
    </row>
    <row r="408" spans="2:5">
      <c r="B408" s="7">
        <v>45138</v>
      </c>
      <c r="C408" s="8">
        <v>2023</v>
      </c>
      <c r="D408" s="8" t="b">
        <f t="shared" si="6"/>
        <v>1</v>
      </c>
      <c r="E408">
        <v>81.8</v>
      </c>
    </row>
    <row r="409" spans="2:5">
      <c r="B409" s="7">
        <v>45139</v>
      </c>
      <c r="C409" s="8">
        <v>2023</v>
      </c>
      <c r="D409" s="8" t="b">
        <f t="shared" si="6"/>
        <v>1</v>
      </c>
      <c r="E409">
        <v>81.37</v>
      </c>
    </row>
    <row r="410" spans="2:5">
      <c r="B410" s="7">
        <v>45140</v>
      </c>
      <c r="C410" s="8">
        <v>2023</v>
      </c>
      <c r="D410" s="8" t="b">
        <f t="shared" si="6"/>
        <v>1</v>
      </c>
      <c r="E410">
        <v>79.5</v>
      </c>
    </row>
    <row r="411" spans="2:5">
      <c r="B411" s="7">
        <v>45141</v>
      </c>
      <c r="C411" s="8">
        <v>2023</v>
      </c>
      <c r="D411" s="8" t="b">
        <f t="shared" si="6"/>
        <v>1</v>
      </c>
      <c r="E411">
        <v>81.56</v>
      </c>
    </row>
    <row r="412" spans="2:5">
      <c r="B412" s="7">
        <v>45142</v>
      </c>
      <c r="C412" s="8">
        <v>2023</v>
      </c>
      <c r="D412" s="8" t="b">
        <f t="shared" si="6"/>
        <v>1</v>
      </c>
      <c r="E412">
        <v>82.76</v>
      </c>
    </row>
    <row r="413" spans="2:5">
      <c r="B413" s="7">
        <v>45145</v>
      </c>
      <c r="C413" s="8">
        <v>2023</v>
      </c>
      <c r="D413" s="8" t="b">
        <f t="shared" si="6"/>
        <v>1</v>
      </c>
      <c r="E413">
        <v>81.94</v>
      </c>
    </row>
    <row r="414" spans="2:5">
      <c r="B414" s="7">
        <v>45146</v>
      </c>
      <c r="C414" s="8">
        <v>2023</v>
      </c>
      <c r="D414" s="8" t="b">
        <f t="shared" si="6"/>
        <v>1</v>
      </c>
      <c r="E414">
        <v>82.94</v>
      </c>
    </row>
    <row r="415" spans="2:5">
      <c r="B415" s="7">
        <v>45147</v>
      </c>
      <c r="C415" s="8">
        <v>2023</v>
      </c>
      <c r="D415" s="8" t="b">
        <f t="shared" si="6"/>
        <v>1</v>
      </c>
      <c r="E415">
        <v>84.35</v>
      </c>
    </row>
    <row r="416" spans="2:5">
      <c r="B416" s="7">
        <v>45148</v>
      </c>
      <c r="C416" s="8">
        <v>2023</v>
      </c>
      <c r="D416" s="8" t="b">
        <f t="shared" si="6"/>
        <v>1</v>
      </c>
      <c r="E416">
        <v>82.81</v>
      </c>
    </row>
    <row r="417" spans="2:5">
      <c r="B417" s="7">
        <v>45149</v>
      </c>
      <c r="C417" s="8">
        <v>2023</v>
      </c>
      <c r="D417" s="8" t="b">
        <f t="shared" si="6"/>
        <v>1</v>
      </c>
      <c r="E417">
        <v>83.17</v>
      </c>
    </row>
    <row r="418" spans="2:5">
      <c r="B418" s="7">
        <v>45152</v>
      </c>
      <c r="C418" s="8">
        <v>2023</v>
      </c>
      <c r="D418" s="8" t="b">
        <f t="shared" si="6"/>
        <v>1</v>
      </c>
      <c r="E418">
        <v>82.5</v>
      </c>
    </row>
    <row r="419" spans="2:5">
      <c r="B419" s="7">
        <v>45153</v>
      </c>
      <c r="C419" s="8">
        <v>2023</v>
      </c>
      <c r="D419" s="8" t="b">
        <f t="shared" si="6"/>
        <v>1</v>
      </c>
      <c r="E419">
        <v>81.06</v>
      </c>
    </row>
    <row r="420" spans="2:5">
      <c r="B420" s="7">
        <v>45154</v>
      </c>
      <c r="C420" s="8">
        <v>2023</v>
      </c>
      <c r="D420" s="8" t="b">
        <f t="shared" si="6"/>
        <v>1</v>
      </c>
      <c r="E420">
        <v>79.400000000000006</v>
      </c>
    </row>
    <row r="421" spans="2:5">
      <c r="B421" s="7">
        <v>45155</v>
      </c>
      <c r="C421" s="8">
        <v>2023</v>
      </c>
      <c r="D421" s="8" t="b">
        <f t="shared" si="6"/>
        <v>1</v>
      </c>
      <c r="E421">
        <v>80.430000000000007</v>
      </c>
    </row>
    <row r="422" spans="2:5">
      <c r="B422" s="7">
        <v>45156</v>
      </c>
      <c r="C422" s="8">
        <v>2023</v>
      </c>
      <c r="D422" s="8" t="b">
        <f t="shared" si="6"/>
        <v>1</v>
      </c>
      <c r="E422">
        <v>81.25</v>
      </c>
    </row>
    <row r="423" spans="2:5">
      <c r="B423" s="7">
        <v>45159</v>
      </c>
      <c r="C423" s="8">
        <v>2023</v>
      </c>
      <c r="D423" s="8" t="b">
        <f t="shared" si="6"/>
        <v>1</v>
      </c>
      <c r="E423">
        <v>80.709999999999994</v>
      </c>
    </row>
    <row r="424" spans="2:5">
      <c r="B424" s="7">
        <v>45160</v>
      </c>
      <c r="C424" s="8">
        <v>2023</v>
      </c>
      <c r="D424" s="8" t="b">
        <f t="shared" si="6"/>
        <v>1</v>
      </c>
      <c r="E424">
        <v>80.25</v>
      </c>
    </row>
    <row r="425" spans="2:5">
      <c r="B425" s="7">
        <v>45161</v>
      </c>
      <c r="C425" s="8">
        <v>2023</v>
      </c>
      <c r="D425" s="8" t="b">
        <f t="shared" si="6"/>
        <v>1</v>
      </c>
      <c r="E425">
        <v>78.91</v>
      </c>
    </row>
    <row r="426" spans="2:5">
      <c r="B426" s="7">
        <v>45162</v>
      </c>
      <c r="C426" s="8">
        <v>2023</v>
      </c>
      <c r="D426" s="8" t="b">
        <f t="shared" si="6"/>
        <v>1</v>
      </c>
      <c r="E426">
        <v>79.52</v>
      </c>
    </row>
    <row r="427" spans="2:5">
      <c r="B427" s="7">
        <v>45163</v>
      </c>
      <c r="C427" s="8">
        <v>2023</v>
      </c>
      <c r="D427" s="8" t="b">
        <f t="shared" si="6"/>
        <v>1</v>
      </c>
      <c r="E427">
        <v>80.47</v>
      </c>
    </row>
    <row r="428" spans="2:5">
      <c r="B428" s="7">
        <v>45166</v>
      </c>
      <c r="C428" s="8">
        <v>2023</v>
      </c>
      <c r="D428" s="8" t="b">
        <f t="shared" si="6"/>
        <v>1</v>
      </c>
      <c r="E428">
        <v>80.650000000000006</v>
      </c>
    </row>
    <row r="429" spans="2:5">
      <c r="B429" s="7">
        <v>45167</v>
      </c>
      <c r="C429" s="8">
        <v>2023</v>
      </c>
      <c r="D429" s="8" t="b">
        <f t="shared" si="6"/>
        <v>1</v>
      </c>
      <c r="E429">
        <v>81.14</v>
      </c>
    </row>
    <row r="430" spans="2:5">
      <c r="B430" s="7">
        <v>45168</v>
      </c>
      <c r="C430" s="8">
        <v>2023</v>
      </c>
      <c r="D430" s="8" t="b">
        <f t="shared" si="6"/>
        <v>1</v>
      </c>
      <c r="E430">
        <v>81.64</v>
      </c>
    </row>
    <row r="431" spans="2:5">
      <c r="B431" s="7">
        <v>45169</v>
      </c>
      <c r="C431" s="8">
        <v>2023</v>
      </c>
      <c r="D431" s="8" t="b">
        <f t="shared" si="6"/>
        <v>1</v>
      </c>
      <c r="E431">
        <v>83.55</v>
      </c>
    </row>
    <row r="432" spans="2:5">
      <c r="B432" s="7">
        <v>45170</v>
      </c>
      <c r="C432" s="8">
        <v>2023</v>
      </c>
      <c r="D432" s="8" t="b">
        <f t="shared" si="6"/>
        <v>1</v>
      </c>
      <c r="E432">
        <v>85.52</v>
      </c>
    </row>
    <row r="433" spans="2:5">
      <c r="B433" s="7">
        <v>45173</v>
      </c>
      <c r="C433" s="8">
        <v>2023</v>
      </c>
      <c r="D433" s="8" t="b">
        <f t="shared" si="6"/>
        <v>0</v>
      </c>
    </row>
    <row r="434" spans="2:5">
      <c r="B434" s="7">
        <v>45174</v>
      </c>
      <c r="C434" s="8">
        <v>2023</v>
      </c>
      <c r="D434" s="8" t="b">
        <f t="shared" si="6"/>
        <v>1</v>
      </c>
      <c r="E434">
        <v>86.74</v>
      </c>
    </row>
    <row r="435" spans="2:5">
      <c r="B435" s="7">
        <v>45175</v>
      </c>
      <c r="C435" s="8">
        <v>2023</v>
      </c>
      <c r="D435" s="8" t="b">
        <f t="shared" si="6"/>
        <v>1</v>
      </c>
      <c r="E435">
        <v>87.55</v>
      </c>
    </row>
    <row r="436" spans="2:5">
      <c r="B436" s="7">
        <v>45176</v>
      </c>
      <c r="C436" s="8">
        <v>2023</v>
      </c>
      <c r="D436" s="8" t="b">
        <f t="shared" si="6"/>
        <v>1</v>
      </c>
      <c r="E436">
        <v>86.87</v>
      </c>
    </row>
    <row r="437" spans="2:5">
      <c r="B437" s="7">
        <v>45177</v>
      </c>
      <c r="C437" s="8">
        <v>2023</v>
      </c>
      <c r="D437" s="8" t="b">
        <f t="shared" si="6"/>
        <v>1</v>
      </c>
      <c r="E437">
        <v>87.51</v>
      </c>
    </row>
    <row r="438" spans="2:5">
      <c r="B438" s="7">
        <v>45180</v>
      </c>
      <c r="C438" s="8">
        <v>2023</v>
      </c>
      <c r="D438" s="8" t="b">
        <f t="shared" si="6"/>
        <v>1</v>
      </c>
      <c r="E438">
        <v>87.3</v>
      </c>
    </row>
    <row r="439" spans="2:5">
      <c r="B439" s="7">
        <v>45181</v>
      </c>
      <c r="C439" s="8">
        <v>2023</v>
      </c>
      <c r="D439" s="8" t="b">
        <f t="shared" si="6"/>
        <v>1</v>
      </c>
      <c r="E439">
        <v>88.87</v>
      </c>
    </row>
    <row r="440" spans="2:5">
      <c r="B440" s="7">
        <v>45182</v>
      </c>
      <c r="C440" s="8">
        <v>2023</v>
      </c>
      <c r="D440" s="8" t="b">
        <f t="shared" si="6"/>
        <v>1</v>
      </c>
      <c r="E440">
        <v>88.59</v>
      </c>
    </row>
    <row r="441" spans="2:5">
      <c r="B441" s="7">
        <v>45183</v>
      </c>
      <c r="C441" s="8">
        <v>2023</v>
      </c>
      <c r="D441" s="8" t="b">
        <f t="shared" si="6"/>
        <v>1</v>
      </c>
      <c r="E441">
        <v>90.13</v>
      </c>
    </row>
    <row r="442" spans="2:5">
      <c r="B442" s="7">
        <v>45184</v>
      </c>
      <c r="C442" s="8">
        <v>2023</v>
      </c>
      <c r="D442" s="8" t="b">
        <f t="shared" si="6"/>
        <v>1</v>
      </c>
      <c r="E442">
        <v>90.83</v>
      </c>
    </row>
    <row r="443" spans="2:5">
      <c r="B443" s="7">
        <v>45187</v>
      </c>
      <c r="C443" s="8">
        <v>2023</v>
      </c>
      <c r="D443" s="8" t="b">
        <f t="shared" si="6"/>
        <v>1</v>
      </c>
      <c r="E443">
        <v>91.47</v>
      </c>
    </row>
    <row r="444" spans="2:5">
      <c r="B444" s="7">
        <v>45188</v>
      </c>
      <c r="C444" s="8">
        <v>2023</v>
      </c>
      <c r="D444" s="8" t="b">
        <f t="shared" si="6"/>
        <v>1</v>
      </c>
      <c r="E444">
        <v>91.16</v>
      </c>
    </row>
    <row r="445" spans="2:5">
      <c r="B445" s="7">
        <v>45189</v>
      </c>
      <c r="C445" s="8">
        <v>2023</v>
      </c>
      <c r="D445" s="8" t="b">
        <f t="shared" si="6"/>
        <v>1</v>
      </c>
      <c r="E445">
        <v>89.2</v>
      </c>
    </row>
    <row r="446" spans="2:5">
      <c r="B446" s="7">
        <v>45190</v>
      </c>
      <c r="C446" s="8">
        <v>2023</v>
      </c>
      <c r="D446" s="8" t="b">
        <f t="shared" si="6"/>
        <v>1</v>
      </c>
      <c r="E446">
        <v>89.56</v>
      </c>
    </row>
    <row r="447" spans="2:5">
      <c r="B447" s="7">
        <v>45191</v>
      </c>
      <c r="C447" s="8">
        <v>2023</v>
      </c>
      <c r="D447" s="8" t="b">
        <f t="shared" si="6"/>
        <v>1</v>
      </c>
      <c r="E447">
        <v>90</v>
      </c>
    </row>
    <row r="448" spans="2:5">
      <c r="B448" s="7">
        <v>45194</v>
      </c>
      <c r="C448" s="8">
        <v>2023</v>
      </c>
      <c r="D448" s="8" t="b">
        <f t="shared" si="6"/>
        <v>1</v>
      </c>
      <c r="E448">
        <v>89.68</v>
      </c>
    </row>
    <row r="449" spans="2:5">
      <c r="B449" s="7">
        <v>45195</v>
      </c>
      <c r="C449" s="8">
        <v>2023</v>
      </c>
      <c r="D449" s="8" t="b">
        <f t="shared" si="6"/>
        <v>1</v>
      </c>
      <c r="E449">
        <v>91.43</v>
      </c>
    </row>
    <row r="450" spans="2:5">
      <c r="B450" s="7">
        <v>45196</v>
      </c>
      <c r="C450" s="8">
        <v>2023</v>
      </c>
      <c r="D450" s="8" t="b">
        <f t="shared" si="6"/>
        <v>1</v>
      </c>
      <c r="E450">
        <v>93.67</v>
      </c>
    </row>
    <row r="451" spans="2:5">
      <c r="B451" s="7">
        <v>45197</v>
      </c>
      <c r="C451" s="8">
        <v>2023</v>
      </c>
      <c r="D451" s="8" t="b">
        <f t="shared" si="6"/>
        <v>1</v>
      </c>
      <c r="E451">
        <v>91.65</v>
      </c>
    </row>
    <row r="452" spans="2:5">
      <c r="B452" s="7">
        <v>45198</v>
      </c>
      <c r="C452" s="8">
        <v>2023</v>
      </c>
      <c r="D452" s="8" t="b">
        <f t="shared" ref="D452:D515" si="7">ISNUMBER(E452)</f>
        <v>1</v>
      </c>
      <c r="E452">
        <v>90.77</v>
      </c>
    </row>
    <row r="453" spans="2:5">
      <c r="B453" s="7">
        <v>45201</v>
      </c>
      <c r="C453" s="8">
        <v>2023</v>
      </c>
      <c r="D453" s="8" t="b">
        <f t="shared" si="7"/>
        <v>1</v>
      </c>
      <c r="E453">
        <v>88.81</v>
      </c>
    </row>
    <row r="454" spans="2:5">
      <c r="B454" s="7">
        <v>45202</v>
      </c>
      <c r="C454" s="8">
        <v>2023</v>
      </c>
      <c r="D454" s="8" t="b">
        <f t="shared" si="7"/>
        <v>1</v>
      </c>
      <c r="E454">
        <v>89.26</v>
      </c>
    </row>
    <row r="455" spans="2:5">
      <c r="B455" s="7">
        <v>45203</v>
      </c>
      <c r="C455" s="8">
        <v>2023</v>
      </c>
      <c r="D455" s="8" t="b">
        <f t="shared" si="7"/>
        <v>1</v>
      </c>
      <c r="E455">
        <v>84.32</v>
      </c>
    </row>
    <row r="456" spans="2:5">
      <c r="B456" s="7">
        <v>45204</v>
      </c>
      <c r="C456" s="8">
        <v>2023</v>
      </c>
      <c r="D456" s="8" t="b">
        <f t="shared" si="7"/>
        <v>1</v>
      </c>
      <c r="E456">
        <v>82.3</v>
      </c>
    </row>
    <row r="457" spans="2:5">
      <c r="B457" s="7">
        <v>45205</v>
      </c>
      <c r="C457" s="8">
        <v>2023</v>
      </c>
      <c r="D457" s="8" t="b">
        <f t="shared" si="7"/>
        <v>1</v>
      </c>
      <c r="E457">
        <v>82.83</v>
      </c>
    </row>
    <row r="458" spans="2:5">
      <c r="B458" s="7">
        <v>45208</v>
      </c>
      <c r="C458" s="8">
        <v>2023</v>
      </c>
      <c r="D458" s="8" t="b">
        <f t="shared" si="7"/>
        <v>0</v>
      </c>
    </row>
    <row r="459" spans="2:5">
      <c r="B459" s="7">
        <v>45209</v>
      </c>
      <c r="C459" s="8">
        <v>2023</v>
      </c>
      <c r="D459" s="8" t="b">
        <f t="shared" si="7"/>
        <v>1</v>
      </c>
      <c r="E459">
        <v>85.89</v>
      </c>
    </row>
    <row r="460" spans="2:5">
      <c r="B460" s="7">
        <v>45210</v>
      </c>
      <c r="C460" s="8">
        <v>2023</v>
      </c>
      <c r="D460" s="8" t="b">
        <f t="shared" si="7"/>
        <v>1</v>
      </c>
      <c r="E460">
        <v>83.7</v>
      </c>
    </row>
    <row r="461" spans="2:5">
      <c r="B461" s="7">
        <v>45211</v>
      </c>
      <c r="C461" s="8">
        <v>2023</v>
      </c>
      <c r="D461" s="8" t="b">
        <f t="shared" si="7"/>
        <v>1</v>
      </c>
      <c r="E461">
        <v>82.87</v>
      </c>
    </row>
    <row r="462" spans="2:5">
      <c r="B462" s="7">
        <v>45212</v>
      </c>
      <c r="C462" s="8">
        <v>2023</v>
      </c>
      <c r="D462" s="8" t="b">
        <f t="shared" si="7"/>
        <v>1</v>
      </c>
      <c r="E462">
        <v>87.67</v>
      </c>
    </row>
    <row r="463" spans="2:5">
      <c r="B463" s="7">
        <v>45215</v>
      </c>
      <c r="C463" s="8">
        <v>2023</v>
      </c>
      <c r="D463" s="8" t="b">
        <f t="shared" si="7"/>
        <v>1</v>
      </c>
      <c r="E463">
        <v>86.65</v>
      </c>
    </row>
    <row r="464" spans="2:5">
      <c r="B464" s="7">
        <v>45216</v>
      </c>
      <c r="C464" s="8">
        <v>2023</v>
      </c>
      <c r="D464" s="8" t="b">
        <f t="shared" si="7"/>
        <v>1</v>
      </c>
      <c r="E464">
        <v>86.66</v>
      </c>
    </row>
    <row r="465" spans="2:5">
      <c r="B465" s="7">
        <v>45217</v>
      </c>
      <c r="C465" s="8">
        <v>2023</v>
      </c>
      <c r="D465" s="8" t="b">
        <f t="shared" si="7"/>
        <v>1</v>
      </c>
      <c r="E465">
        <v>88.35</v>
      </c>
    </row>
    <row r="466" spans="2:5">
      <c r="B466" s="7">
        <v>45218</v>
      </c>
      <c r="C466" s="8">
        <v>2023</v>
      </c>
      <c r="D466" s="8" t="b">
        <f t="shared" si="7"/>
        <v>1</v>
      </c>
      <c r="E466">
        <v>89.35</v>
      </c>
    </row>
    <row r="467" spans="2:5">
      <c r="B467" s="7">
        <v>45219</v>
      </c>
      <c r="C467" s="8">
        <v>2023</v>
      </c>
      <c r="D467" s="8" t="b">
        <f t="shared" si="7"/>
        <v>1</v>
      </c>
      <c r="E467">
        <v>89.12</v>
      </c>
    </row>
    <row r="468" spans="2:5">
      <c r="B468" s="7">
        <v>45222</v>
      </c>
      <c r="C468" s="8">
        <v>2023</v>
      </c>
      <c r="D468" s="8" t="b">
        <f t="shared" si="7"/>
        <v>1</v>
      </c>
      <c r="E468">
        <v>85.49</v>
      </c>
    </row>
    <row r="469" spans="2:5">
      <c r="B469" s="7">
        <v>45223</v>
      </c>
      <c r="C469" s="8">
        <v>2023</v>
      </c>
      <c r="D469" s="8" t="b">
        <f t="shared" si="7"/>
        <v>1</v>
      </c>
      <c r="E469">
        <v>84.58</v>
      </c>
    </row>
    <row r="470" spans="2:5">
      <c r="B470" s="7">
        <v>45224</v>
      </c>
      <c r="C470" s="8">
        <v>2023</v>
      </c>
      <c r="D470" s="8" t="b">
        <f t="shared" si="7"/>
        <v>1</v>
      </c>
      <c r="E470">
        <v>86.07</v>
      </c>
    </row>
    <row r="471" spans="2:5">
      <c r="B471" s="7">
        <v>45225</v>
      </c>
      <c r="C471" s="8">
        <v>2023</v>
      </c>
      <c r="D471" s="8" t="b">
        <f t="shared" si="7"/>
        <v>1</v>
      </c>
      <c r="E471">
        <v>83.8</v>
      </c>
    </row>
    <row r="472" spans="2:5">
      <c r="B472" s="7">
        <v>45226</v>
      </c>
      <c r="C472" s="8">
        <v>2023</v>
      </c>
      <c r="D472" s="8" t="b">
        <f t="shared" si="7"/>
        <v>1</v>
      </c>
      <c r="E472">
        <v>86.04</v>
      </c>
    </row>
    <row r="473" spans="2:5">
      <c r="B473" s="7">
        <v>45229</v>
      </c>
      <c r="C473" s="8">
        <v>2023</v>
      </c>
      <c r="D473" s="8" t="b">
        <f t="shared" si="7"/>
        <v>1</v>
      </c>
      <c r="E473">
        <v>83.03</v>
      </c>
    </row>
    <row r="474" spans="2:5">
      <c r="B474" s="7">
        <v>45230</v>
      </c>
      <c r="C474" s="8">
        <v>2023</v>
      </c>
      <c r="D474" s="8" t="b">
        <f t="shared" si="7"/>
        <v>1</v>
      </c>
      <c r="E474">
        <v>81.64</v>
      </c>
    </row>
    <row r="475" spans="2:5">
      <c r="B475" s="7">
        <v>45231</v>
      </c>
      <c r="C475" s="8">
        <v>2023</v>
      </c>
      <c r="D475" s="8" t="b">
        <f t="shared" si="7"/>
        <v>1</v>
      </c>
      <c r="E475">
        <v>81.05</v>
      </c>
    </row>
    <row r="476" spans="2:5">
      <c r="B476" s="7">
        <v>45232</v>
      </c>
      <c r="C476" s="8">
        <v>2023</v>
      </c>
      <c r="D476" s="8" t="b">
        <f t="shared" si="7"/>
        <v>1</v>
      </c>
      <c r="E476">
        <v>83.04</v>
      </c>
    </row>
    <row r="477" spans="2:5">
      <c r="B477" s="7">
        <v>45233</v>
      </c>
      <c r="C477" s="8">
        <v>2023</v>
      </c>
      <c r="D477" s="8" t="b">
        <f t="shared" si="7"/>
        <v>1</v>
      </c>
      <c r="E477">
        <v>81.19</v>
      </c>
    </row>
    <row r="478" spans="2:5">
      <c r="B478" s="7">
        <v>45236</v>
      </c>
      <c r="C478" s="8">
        <v>2023</v>
      </c>
      <c r="D478" s="8" t="b">
        <f t="shared" si="7"/>
        <v>1</v>
      </c>
      <c r="E478">
        <v>81.540000000000006</v>
      </c>
    </row>
    <row r="479" spans="2:5">
      <c r="B479" s="7">
        <v>45237</v>
      </c>
      <c r="C479" s="8">
        <v>2023</v>
      </c>
      <c r="D479" s="8" t="b">
        <f t="shared" si="7"/>
        <v>1</v>
      </c>
      <c r="E479">
        <v>77.959999999999994</v>
      </c>
    </row>
    <row r="480" spans="2:5">
      <c r="B480" s="7">
        <v>45238</v>
      </c>
      <c r="C480" s="8">
        <v>2023</v>
      </c>
      <c r="D480" s="8" t="b">
        <f t="shared" si="7"/>
        <v>1</v>
      </c>
      <c r="E480">
        <v>75.849999999999994</v>
      </c>
    </row>
    <row r="481" spans="2:5">
      <c r="B481" s="7">
        <v>45239</v>
      </c>
      <c r="C481" s="8">
        <v>2023</v>
      </c>
      <c r="D481" s="8" t="b">
        <f t="shared" si="7"/>
        <v>1</v>
      </c>
      <c r="E481">
        <v>76.34</v>
      </c>
    </row>
    <row r="482" spans="2:5">
      <c r="B482" s="7">
        <v>45240</v>
      </c>
      <c r="C482" s="8">
        <v>2023</v>
      </c>
      <c r="D482" s="8" t="b">
        <f t="shared" si="7"/>
        <v>0</v>
      </c>
    </row>
    <row r="483" spans="2:5">
      <c r="B483" s="7">
        <v>45243</v>
      </c>
      <c r="C483" s="8">
        <v>2023</v>
      </c>
      <c r="D483" s="8" t="b">
        <f t="shared" si="7"/>
        <v>1</v>
      </c>
      <c r="E483">
        <v>78.86</v>
      </c>
    </row>
    <row r="484" spans="2:5">
      <c r="B484" s="7">
        <v>45244</v>
      </c>
      <c r="C484" s="8">
        <v>2023</v>
      </c>
      <c r="D484" s="8" t="b">
        <f t="shared" si="7"/>
        <v>1</v>
      </c>
      <c r="E484">
        <v>78.900000000000006</v>
      </c>
    </row>
    <row r="485" spans="2:5">
      <c r="B485" s="7">
        <v>45245</v>
      </c>
      <c r="C485" s="8">
        <v>2023</v>
      </c>
      <c r="D485" s="8" t="b">
        <f t="shared" si="7"/>
        <v>1</v>
      </c>
      <c r="E485">
        <v>77.150000000000006</v>
      </c>
    </row>
    <row r="486" spans="2:5">
      <c r="B486" s="7">
        <v>45246</v>
      </c>
      <c r="C486" s="8">
        <v>2023</v>
      </c>
      <c r="D486" s="8" t="b">
        <f t="shared" si="7"/>
        <v>1</v>
      </c>
      <c r="E486">
        <v>73.5</v>
      </c>
    </row>
    <row r="487" spans="2:5">
      <c r="B487" s="7">
        <v>45247</v>
      </c>
      <c r="C487" s="8">
        <v>2023</v>
      </c>
      <c r="D487" s="8" t="b">
        <f t="shared" si="7"/>
        <v>1</v>
      </c>
      <c r="E487">
        <v>76.47</v>
      </c>
    </row>
    <row r="488" spans="2:5">
      <c r="B488" s="7">
        <v>45250</v>
      </c>
      <c r="C488" s="8">
        <v>2023</v>
      </c>
      <c r="D488" s="8" t="b">
        <f t="shared" si="7"/>
        <v>1</v>
      </c>
      <c r="E488">
        <v>78.099999999999994</v>
      </c>
    </row>
    <row r="489" spans="2:5">
      <c r="B489" s="7">
        <v>45251</v>
      </c>
      <c r="C489" s="8">
        <v>2023</v>
      </c>
      <c r="D489" s="8" t="b">
        <f t="shared" si="7"/>
        <v>1</v>
      </c>
      <c r="E489">
        <v>78.349999999999994</v>
      </c>
    </row>
    <row r="490" spans="2:5">
      <c r="B490" s="7">
        <v>45252</v>
      </c>
      <c r="C490" s="8">
        <v>2023</v>
      </c>
      <c r="D490" s="8" t="b">
        <f t="shared" si="7"/>
        <v>1</v>
      </c>
      <c r="E490">
        <v>76.8</v>
      </c>
    </row>
    <row r="491" spans="2:5">
      <c r="B491" s="7">
        <v>45253</v>
      </c>
      <c r="C491" s="8">
        <v>2023</v>
      </c>
      <c r="D491" s="8" t="b">
        <f t="shared" si="7"/>
        <v>0</v>
      </c>
    </row>
    <row r="492" spans="2:5">
      <c r="B492" s="7">
        <v>45254</v>
      </c>
      <c r="C492" s="8">
        <v>2023</v>
      </c>
      <c r="D492" s="8" t="b">
        <f t="shared" si="7"/>
        <v>1</v>
      </c>
      <c r="E492">
        <v>74.83</v>
      </c>
    </row>
    <row r="493" spans="2:5">
      <c r="B493" s="7">
        <v>45257</v>
      </c>
      <c r="C493" s="8">
        <v>2023</v>
      </c>
      <c r="D493" s="8" t="b">
        <f t="shared" si="7"/>
        <v>1</v>
      </c>
      <c r="E493">
        <v>74.459999999999994</v>
      </c>
    </row>
    <row r="494" spans="2:5">
      <c r="B494" s="7">
        <v>45258</v>
      </c>
      <c r="C494" s="8">
        <v>2023</v>
      </c>
      <c r="D494" s="8" t="b">
        <f t="shared" si="7"/>
        <v>1</v>
      </c>
      <c r="E494">
        <v>76.09</v>
      </c>
    </row>
    <row r="495" spans="2:5">
      <c r="B495" s="7">
        <v>45259</v>
      </c>
      <c r="C495" s="8">
        <v>2023</v>
      </c>
      <c r="D495" s="8" t="b">
        <f t="shared" si="7"/>
        <v>1</v>
      </c>
      <c r="E495">
        <v>77.56</v>
      </c>
    </row>
    <row r="496" spans="2:5">
      <c r="B496" s="7">
        <v>45260</v>
      </c>
      <c r="C496" s="8">
        <v>2023</v>
      </c>
      <c r="D496" s="8" t="b">
        <f t="shared" si="7"/>
        <v>1</v>
      </c>
      <c r="E496">
        <v>75.66</v>
      </c>
    </row>
    <row r="497" spans="2:5">
      <c r="B497" s="7">
        <v>45261</v>
      </c>
      <c r="C497" s="8">
        <v>2023</v>
      </c>
      <c r="D497" s="8" t="b">
        <f t="shared" si="7"/>
        <v>1</v>
      </c>
      <c r="E497">
        <v>73.7</v>
      </c>
    </row>
    <row r="498" spans="2:5">
      <c r="B498" s="7">
        <v>45264</v>
      </c>
      <c r="C498" s="8">
        <v>2023</v>
      </c>
      <c r="D498" s="8" t="b">
        <f t="shared" si="7"/>
        <v>1</v>
      </c>
      <c r="E498">
        <v>72.73</v>
      </c>
    </row>
    <row r="499" spans="2:5">
      <c r="B499" s="7">
        <v>45265</v>
      </c>
      <c r="C499" s="8">
        <v>2023</v>
      </c>
      <c r="D499" s="8" t="b">
        <f t="shared" si="7"/>
        <v>1</v>
      </c>
      <c r="E499">
        <v>71.95</v>
      </c>
    </row>
    <row r="500" spans="2:5">
      <c r="B500" s="7">
        <v>45266</v>
      </c>
      <c r="C500" s="8">
        <v>2023</v>
      </c>
      <c r="D500" s="8" t="b">
        <f t="shared" si="7"/>
        <v>1</v>
      </c>
      <c r="E500">
        <v>68.98</v>
      </c>
    </row>
    <row r="501" spans="2:5">
      <c r="B501" s="7">
        <v>45267</v>
      </c>
      <c r="C501" s="8">
        <v>2023</v>
      </c>
      <c r="D501" s="8" t="b">
        <f t="shared" si="7"/>
        <v>1</v>
      </c>
      <c r="E501">
        <v>69</v>
      </c>
    </row>
    <row r="502" spans="2:5">
      <c r="B502" s="7">
        <v>45268</v>
      </c>
      <c r="C502" s="8">
        <v>2023</v>
      </c>
      <c r="D502" s="8" t="b">
        <f t="shared" si="7"/>
        <v>1</v>
      </c>
      <c r="E502">
        <v>70.87</v>
      </c>
    </row>
    <row r="503" spans="2:5">
      <c r="B503" s="7">
        <v>45271</v>
      </c>
      <c r="C503" s="8">
        <v>2023</v>
      </c>
      <c r="D503" s="8" t="b">
        <f t="shared" si="7"/>
        <v>1</v>
      </c>
      <c r="E503">
        <v>70.95</v>
      </c>
    </row>
    <row r="504" spans="2:5">
      <c r="B504" s="7">
        <v>45272</v>
      </c>
      <c r="C504" s="8">
        <v>2023</v>
      </c>
      <c r="D504" s="8" t="b">
        <f t="shared" si="7"/>
        <v>1</v>
      </c>
      <c r="E504">
        <v>68.27</v>
      </c>
    </row>
    <row r="505" spans="2:5">
      <c r="B505" s="7">
        <v>45273</v>
      </c>
      <c r="C505" s="8">
        <v>2023</v>
      </c>
      <c r="D505" s="8" t="b">
        <f t="shared" si="7"/>
        <v>1</v>
      </c>
      <c r="E505">
        <v>69.09</v>
      </c>
    </row>
    <row r="506" spans="2:5">
      <c r="B506" s="7">
        <v>45274</v>
      </c>
      <c r="C506" s="8">
        <v>2023</v>
      </c>
      <c r="D506" s="8" t="b">
        <f t="shared" si="7"/>
        <v>1</v>
      </c>
      <c r="E506">
        <v>71.209999999999994</v>
      </c>
    </row>
    <row r="507" spans="2:5">
      <c r="B507" s="7">
        <v>45275</v>
      </c>
      <c r="C507" s="8">
        <v>2023</v>
      </c>
      <c r="D507" s="8" t="b">
        <f t="shared" si="7"/>
        <v>1</v>
      </c>
      <c r="E507">
        <v>71.05</v>
      </c>
    </row>
    <row r="508" spans="2:5">
      <c r="B508" s="7">
        <v>45278</v>
      </c>
      <c r="C508" s="8">
        <v>2023</v>
      </c>
      <c r="D508" s="8" t="b">
        <f t="shared" si="7"/>
        <v>1</v>
      </c>
      <c r="E508">
        <v>72.16</v>
      </c>
    </row>
    <row r="509" spans="2:5">
      <c r="B509" s="7">
        <v>45279</v>
      </c>
      <c r="C509" s="8">
        <v>2023</v>
      </c>
      <c r="D509" s="8" t="b">
        <f t="shared" si="7"/>
        <v>1</v>
      </c>
      <c r="E509">
        <v>73.23</v>
      </c>
    </row>
    <row r="510" spans="2:5">
      <c r="B510" s="7">
        <v>45280</v>
      </c>
      <c r="C510" s="8">
        <v>2023</v>
      </c>
      <c r="D510" s="8" t="b">
        <f t="shared" si="7"/>
        <v>1</v>
      </c>
      <c r="E510">
        <v>73.87</v>
      </c>
    </row>
    <row r="511" spans="2:5">
      <c r="B511" s="7">
        <v>45281</v>
      </c>
      <c r="C511" s="8">
        <v>2023</v>
      </c>
      <c r="D511" s="8" t="b">
        <f t="shared" si="7"/>
        <v>1</v>
      </c>
      <c r="E511">
        <v>73.59</v>
      </c>
    </row>
    <row r="512" spans="2:5">
      <c r="B512" s="7">
        <v>45282</v>
      </c>
      <c r="C512" s="8">
        <v>2023</v>
      </c>
      <c r="D512" s="8" t="b">
        <f t="shared" si="7"/>
        <v>1</v>
      </c>
      <c r="E512">
        <v>73.290000000000006</v>
      </c>
    </row>
    <row r="513" spans="2:5">
      <c r="B513" s="7">
        <v>45286</v>
      </c>
      <c r="C513" s="8">
        <v>2023</v>
      </c>
      <c r="D513" s="8" t="b">
        <f t="shared" si="7"/>
        <v>1</v>
      </c>
      <c r="E513">
        <v>75.84</v>
      </c>
    </row>
    <row r="514" spans="2:5">
      <c r="B514" s="7">
        <v>45287</v>
      </c>
      <c r="C514" s="8">
        <v>2023</v>
      </c>
      <c r="D514" s="8" t="b">
        <f t="shared" si="7"/>
        <v>1</v>
      </c>
      <c r="E514">
        <v>74.31</v>
      </c>
    </row>
    <row r="515" spans="2:5">
      <c r="B515" s="7">
        <v>45288</v>
      </c>
      <c r="C515" s="8">
        <v>2023</v>
      </c>
      <c r="D515" s="8" t="b">
        <f t="shared" si="7"/>
        <v>1</v>
      </c>
      <c r="E515">
        <v>72.02</v>
      </c>
    </row>
    <row r="516" spans="2:5">
      <c r="B516" s="7">
        <v>45289</v>
      </c>
      <c r="C516" s="8">
        <v>2023</v>
      </c>
      <c r="D516" s="8" t="b">
        <f t="shared" ref="D516:D579" si="8">ISNUMBER(E516)</f>
        <v>1</v>
      </c>
      <c r="E516">
        <v>71.89</v>
      </c>
    </row>
    <row r="517" spans="2:5">
      <c r="B517" s="7">
        <v>45293</v>
      </c>
      <c r="C517" s="8">
        <v>2024</v>
      </c>
      <c r="D517" s="8" t="b">
        <f t="shared" si="8"/>
        <v>1</v>
      </c>
      <c r="E517">
        <v>70.62</v>
      </c>
    </row>
    <row r="518" spans="2:5">
      <c r="B518" s="7">
        <v>45294</v>
      </c>
      <c r="C518" s="8">
        <v>2024</v>
      </c>
      <c r="D518" s="8" t="b">
        <f t="shared" si="8"/>
        <v>1</v>
      </c>
      <c r="E518">
        <v>72.97</v>
      </c>
    </row>
    <row r="519" spans="2:5">
      <c r="B519" s="7">
        <v>45295</v>
      </c>
      <c r="C519" s="8">
        <v>2024</v>
      </c>
      <c r="D519" s="8" t="b">
        <f t="shared" si="8"/>
        <v>1</v>
      </c>
      <c r="E519">
        <v>72.38</v>
      </c>
    </row>
    <row r="520" spans="2:5">
      <c r="B520" s="7">
        <v>45296</v>
      </c>
      <c r="C520" s="8">
        <v>2024</v>
      </c>
      <c r="D520" s="8" t="b">
        <f t="shared" si="8"/>
        <v>1</v>
      </c>
      <c r="E520">
        <v>74</v>
      </c>
    </row>
    <row r="521" spans="2:5">
      <c r="B521" s="7">
        <v>45299</v>
      </c>
      <c r="C521" s="8">
        <v>2024</v>
      </c>
      <c r="D521" s="8" t="b">
        <f t="shared" si="8"/>
        <v>1</v>
      </c>
      <c r="E521">
        <v>71.06</v>
      </c>
    </row>
    <row r="522" spans="2:5">
      <c r="B522" s="7">
        <v>45300</v>
      </c>
      <c r="C522" s="8">
        <v>2024</v>
      </c>
      <c r="D522" s="8" t="b">
        <f t="shared" si="8"/>
        <v>1</v>
      </c>
      <c r="E522">
        <v>72.430000000000007</v>
      </c>
    </row>
    <row r="523" spans="2:5">
      <c r="B523" s="7">
        <v>45301</v>
      </c>
      <c r="C523" s="8">
        <v>2024</v>
      </c>
      <c r="D523" s="8" t="b">
        <f t="shared" si="8"/>
        <v>1</v>
      </c>
      <c r="E523">
        <v>71.569999999999993</v>
      </c>
    </row>
    <row r="524" spans="2:5">
      <c r="B524" s="7">
        <v>45302</v>
      </c>
      <c r="C524" s="8">
        <v>2024</v>
      </c>
      <c r="D524" s="8" t="b">
        <f t="shared" si="8"/>
        <v>1</v>
      </c>
      <c r="E524">
        <v>72.150000000000006</v>
      </c>
    </row>
    <row r="525" spans="2:5">
      <c r="B525" s="7">
        <v>45303</v>
      </c>
      <c r="C525" s="8">
        <v>2024</v>
      </c>
      <c r="D525" s="8" t="b">
        <f t="shared" si="8"/>
        <v>1</v>
      </c>
      <c r="E525">
        <v>72.94</v>
      </c>
    </row>
    <row r="526" spans="2:5">
      <c r="B526" s="7">
        <v>45306</v>
      </c>
      <c r="C526" s="8">
        <v>2024</v>
      </c>
      <c r="D526" s="8" t="b">
        <f t="shared" si="8"/>
        <v>0</v>
      </c>
    </row>
    <row r="527" spans="2:5">
      <c r="B527" s="7">
        <v>45307</v>
      </c>
      <c r="C527" s="8">
        <v>2024</v>
      </c>
      <c r="D527" s="8" t="b">
        <f t="shared" si="8"/>
        <v>1</v>
      </c>
      <c r="E527">
        <v>72.63</v>
      </c>
    </row>
    <row r="528" spans="2:5">
      <c r="B528" s="7">
        <v>45308</v>
      </c>
      <c r="C528" s="8">
        <v>2024</v>
      </c>
      <c r="D528" s="8" t="b">
        <f t="shared" si="8"/>
        <v>1</v>
      </c>
      <c r="E528">
        <v>72.790000000000006</v>
      </c>
    </row>
    <row r="529" spans="2:5">
      <c r="B529" s="7">
        <v>45309</v>
      </c>
      <c r="C529" s="8">
        <v>2024</v>
      </c>
      <c r="D529" s="8" t="b">
        <f t="shared" si="8"/>
        <v>1</v>
      </c>
      <c r="E529">
        <v>74.319999999999993</v>
      </c>
    </row>
    <row r="530" spans="2:5">
      <c r="B530" s="7">
        <v>45310</v>
      </c>
      <c r="C530" s="8">
        <v>2024</v>
      </c>
      <c r="D530" s="8" t="b">
        <f t="shared" si="8"/>
        <v>1</v>
      </c>
      <c r="E530">
        <v>73.69</v>
      </c>
    </row>
    <row r="531" spans="2:5">
      <c r="B531" s="7">
        <v>45313</v>
      </c>
      <c r="C531" s="8">
        <v>2024</v>
      </c>
      <c r="D531" s="8" t="b">
        <f t="shared" si="8"/>
        <v>1</v>
      </c>
      <c r="E531">
        <v>75.260000000000005</v>
      </c>
    </row>
    <row r="532" spans="2:5">
      <c r="B532" s="7">
        <v>45314</v>
      </c>
      <c r="C532" s="8">
        <v>2024</v>
      </c>
      <c r="D532" s="8" t="b">
        <f t="shared" si="8"/>
        <v>1</v>
      </c>
      <c r="E532">
        <v>74.72</v>
      </c>
    </row>
    <row r="533" spans="2:5">
      <c r="B533" s="7">
        <v>45315</v>
      </c>
      <c r="C533" s="8">
        <v>2024</v>
      </c>
      <c r="D533" s="8" t="b">
        <f t="shared" si="8"/>
        <v>1</v>
      </c>
      <c r="E533">
        <v>75.48</v>
      </c>
    </row>
    <row r="534" spans="2:5">
      <c r="B534" s="7">
        <v>45316</v>
      </c>
      <c r="C534" s="8">
        <v>2024</v>
      </c>
      <c r="D534" s="8" t="b">
        <f t="shared" si="8"/>
        <v>1</v>
      </c>
      <c r="E534">
        <v>77.91</v>
      </c>
    </row>
    <row r="535" spans="2:5">
      <c r="B535" s="7">
        <v>45317</v>
      </c>
      <c r="C535" s="8">
        <v>2024</v>
      </c>
      <c r="D535" s="8" t="b">
        <f t="shared" si="8"/>
        <v>1</v>
      </c>
      <c r="E535">
        <v>78.45</v>
      </c>
    </row>
    <row r="536" spans="2:5">
      <c r="B536" s="7">
        <v>45320</v>
      </c>
      <c r="C536" s="8">
        <v>2024</v>
      </c>
      <c r="D536" s="8" t="b">
        <f t="shared" si="8"/>
        <v>1</v>
      </c>
      <c r="E536">
        <v>77.25</v>
      </c>
    </row>
    <row r="537" spans="2:5">
      <c r="B537" s="7">
        <v>45321</v>
      </c>
      <c r="C537" s="8">
        <v>2024</v>
      </c>
      <c r="D537" s="8" t="b">
        <f t="shared" si="8"/>
        <v>1</v>
      </c>
      <c r="E537">
        <v>78.3</v>
      </c>
    </row>
    <row r="538" spans="2:5">
      <c r="B538" s="7">
        <v>45322</v>
      </c>
      <c r="C538" s="8">
        <v>2024</v>
      </c>
      <c r="D538" s="8" t="b">
        <f t="shared" si="8"/>
        <v>1</v>
      </c>
      <c r="E538">
        <v>76.28</v>
      </c>
    </row>
    <row r="539" spans="2:5">
      <c r="B539" s="7">
        <v>45323</v>
      </c>
      <c r="C539" s="8">
        <v>2024</v>
      </c>
      <c r="D539" s="8" t="b">
        <f t="shared" si="8"/>
        <v>1</v>
      </c>
      <c r="E539">
        <v>74.36</v>
      </c>
    </row>
    <row r="540" spans="2:5">
      <c r="B540" s="7">
        <v>45324</v>
      </c>
      <c r="C540" s="8">
        <v>2024</v>
      </c>
      <c r="D540" s="8" t="b">
        <f t="shared" si="8"/>
        <v>1</v>
      </c>
      <c r="E540">
        <v>72.72</v>
      </c>
    </row>
    <row r="541" spans="2:5">
      <c r="B541" s="7">
        <v>45327</v>
      </c>
      <c r="C541" s="8">
        <v>2024</v>
      </c>
      <c r="D541" s="8" t="b">
        <f t="shared" si="8"/>
        <v>1</v>
      </c>
      <c r="E541">
        <v>73.209999999999994</v>
      </c>
    </row>
    <row r="542" spans="2:5">
      <c r="B542" s="7">
        <v>45328</v>
      </c>
      <c r="C542" s="8">
        <v>2024</v>
      </c>
      <c r="D542" s="8" t="b">
        <f t="shared" si="8"/>
        <v>1</v>
      </c>
      <c r="E542">
        <v>73.83</v>
      </c>
    </row>
    <row r="543" spans="2:5">
      <c r="B543" s="7">
        <v>45329</v>
      </c>
      <c r="C543" s="8">
        <v>2024</v>
      </c>
      <c r="D543" s="8" t="b">
        <f t="shared" si="8"/>
        <v>1</v>
      </c>
      <c r="E543">
        <v>74.260000000000005</v>
      </c>
    </row>
    <row r="544" spans="2:5">
      <c r="B544" s="7">
        <v>45330</v>
      </c>
      <c r="C544" s="8">
        <v>2024</v>
      </c>
      <c r="D544" s="8" t="b">
        <f t="shared" si="8"/>
        <v>1</v>
      </c>
      <c r="E544">
        <v>76.67</v>
      </c>
    </row>
    <row r="545" spans="2:5">
      <c r="B545" s="7">
        <v>45331</v>
      </c>
      <c r="C545" s="8">
        <v>2024</v>
      </c>
      <c r="D545" s="8" t="b">
        <f t="shared" si="8"/>
        <v>1</v>
      </c>
      <c r="E545">
        <v>77.260000000000005</v>
      </c>
    </row>
    <row r="546" spans="2:5">
      <c r="B546" s="7">
        <v>45334</v>
      </c>
      <c r="C546" s="8">
        <v>2024</v>
      </c>
      <c r="D546" s="8" t="b">
        <f t="shared" si="8"/>
        <v>1</v>
      </c>
      <c r="E546">
        <v>77.34</v>
      </c>
    </row>
    <row r="547" spans="2:5">
      <c r="B547" s="7">
        <v>45335</v>
      </c>
      <c r="C547" s="8">
        <v>2024</v>
      </c>
      <c r="D547" s="8" t="b">
        <f t="shared" si="8"/>
        <v>1</v>
      </c>
      <c r="E547">
        <v>78.28</v>
      </c>
    </row>
    <row r="548" spans="2:5">
      <c r="B548" s="7">
        <v>45336</v>
      </c>
      <c r="C548" s="8">
        <v>2024</v>
      </c>
      <c r="D548" s="8" t="b">
        <f t="shared" si="8"/>
        <v>1</v>
      </c>
      <c r="E548">
        <v>77.09</v>
      </c>
    </row>
    <row r="549" spans="2:5">
      <c r="B549" s="7">
        <v>45337</v>
      </c>
      <c r="C549" s="8">
        <v>2024</v>
      </c>
      <c r="D549" s="8" t="b">
        <f t="shared" si="8"/>
        <v>1</v>
      </c>
      <c r="E549">
        <v>78.47</v>
      </c>
    </row>
    <row r="550" spans="2:5">
      <c r="B550" s="7">
        <v>45338</v>
      </c>
      <c r="C550" s="8">
        <v>2024</v>
      </c>
      <c r="D550" s="8" t="b">
        <f t="shared" si="8"/>
        <v>1</v>
      </c>
      <c r="E550">
        <v>79.650000000000006</v>
      </c>
    </row>
    <row r="551" spans="2:5">
      <c r="B551" s="7">
        <v>45341</v>
      </c>
      <c r="C551" s="8">
        <v>2024</v>
      </c>
      <c r="D551" s="8" t="b">
        <f t="shared" si="8"/>
        <v>0</v>
      </c>
    </row>
    <row r="552" spans="2:5">
      <c r="B552" s="7">
        <v>45342</v>
      </c>
      <c r="C552" s="8">
        <v>2024</v>
      </c>
      <c r="D552" s="8" t="b">
        <f t="shared" si="8"/>
        <v>1</v>
      </c>
      <c r="E552">
        <v>78.72</v>
      </c>
    </row>
    <row r="553" spans="2:5">
      <c r="B553" s="7">
        <v>45343</v>
      </c>
      <c r="C553" s="8">
        <v>2024</v>
      </c>
      <c r="D553" s="8" t="b">
        <f t="shared" si="8"/>
        <v>1</v>
      </c>
      <c r="E553">
        <v>78.89</v>
      </c>
    </row>
    <row r="554" spans="2:5">
      <c r="B554" s="7">
        <v>45344</v>
      </c>
      <c r="C554" s="8">
        <v>2024</v>
      </c>
      <c r="D554" s="8" t="b">
        <f t="shared" si="8"/>
        <v>1</v>
      </c>
      <c r="E554">
        <v>79.64</v>
      </c>
    </row>
    <row r="555" spans="2:5">
      <c r="B555" s="7">
        <v>45345</v>
      </c>
      <c r="C555" s="8">
        <v>2024</v>
      </c>
      <c r="D555" s="8" t="b">
        <f t="shared" si="8"/>
        <v>1</v>
      </c>
      <c r="E555">
        <v>77.599999999999994</v>
      </c>
    </row>
    <row r="556" spans="2:5">
      <c r="B556" s="7">
        <v>45348</v>
      </c>
      <c r="C556" s="8">
        <v>2024</v>
      </c>
      <c r="D556" s="8" t="b">
        <f t="shared" si="8"/>
        <v>1</v>
      </c>
      <c r="E556">
        <v>78.53</v>
      </c>
    </row>
    <row r="557" spans="2:5">
      <c r="B557" s="7">
        <v>45349</v>
      </c>
      <c r="C557" s="8">
        <v>2024</v>
      </c>
      <c r="D557" s="8" t="b">
        <f t="shared" si="8"/>
        <v>1</v>
      </c>
      <c r="E557">
        <v>79.8</v>
      </c>
    </row>
    <row r="558" spans="2:5">
      <c r="B558" s="7">
        <v>45350</v>
      </c>
      <c r="C558" s="8">
        <v>2024</v>
      </c>
      <c r="D558" s="8" t="b">
        <f t="shared" si="8"/>
        <v>1</v>
      </c>
      <c r="E558">
        <v>79.44</v>
      </c>
    </row>
    <row r="559" spans="2:5">
      <c r="B559" s="7">
        <v>45351</v>
      </c>
      <c r="C559" s="8">
        <v>2024</v>
      </c>
      <c r="D559" s="8" t="b">
        <f t="shared" si="8"/>
        <v>1</v>
      </c>
      <c r="E559">
        <v>79.22</v>
      </c>
    </row>
    <row r="560" spans="2:5">
      <c r="B560" s="7">
        <v>45352</v>
      </c>
      <c r="C560" s="8">
        <v>2024</v>
      </c>
      <c r="D560" s="8" t="b">
        <f t="shared" si="8"/>
        <v>1</v>
      </c>
      <c r="E560">
        <v>80.900000000000006</v>
      </c>
    </row>
    <row r="561" spans="2:5">
      <c r="B561" s="7">
        <v>45355</v>
      </c>
      <c r="C561" s="8">
        <v>2024</v>
      </c>
      <c r="D561" s="8" t="b">
        <f t="shared" si="8"/>
        <v>1</v>
      </c>
      <c r="E561">
        <v>79.67</v>
      </c>
    </row>
    <row r="562" spans="2:5">
      <c r="B562" s="7">
        <v>45356</v>
      </c>
      <c r="C562" s="8">
        <v>2024</v>
      </c>
      <c r="D562" s="8" t="b">
        <f t="shared" si="8"/>
        <v>1</v>
      </c>
      <c r="E562">
        <v>79.11</v>
      </c>
    </row>
    <row r="563" spans="2:5">
      <c r="B563" s="7">
        <v>45357</v>
      </c>
      <c r="C563" s="8">
        <v>2024</v>
      </c>
      <c r="D563" s="8" t="b">
        <f t="shared" si="8"/>
        <v>1</v>
      </c>
      <c r="E563">
        <v>80.08</v>
      </c>
    </row>
    <row r="564" spans="2:5">
      <c r="B564" s="7">
        <v>45358</v>
      </c>
      <c r="C564" s="8">
        <v>2024</v>
      </c>
      <c r="D564" s="8" t="b">
        <f t="shared" si="8"/>
        <v>1</v>
      </c>
      <c r="E564">
        <v>79.81</v>
      </c>
    </row>
    <row r="565" spans="2:5">
      <c r="B565" s="7">
        <v>45359</v>
      </c>
      <c r="C565" s="8">
        <v>2024</v>
      </c>
      <c r="D565" s="8" t="b">
        <f t="shared" si="8"/>
        <v>1</v>
      </c>
      <c r="E565">
        <v>78.959999999999994</v>
      </c>
    </row>
    <row r="566" spans="2:5">
      <c r="B566" s="7">
        <v>45362</v>
      </c>
      <c r="C566" s="8">
        <v>2024</v>
      </c>
      <c r="D566" s="8" t="b">
        <f t="shared" si="8"/>
        <v>1</v>
      </c>
      <c r="E566">
        <v>78.87</v>
      </c>
    </row>
    <row r="567" spans="2:5">
      <c r="B567" s="7">
        <v>45363</v>
      </c>
      <c r="C567" s="8">
        <v>2024</v>
      </c>
      <c r="D567" s="8" t="b">
        <f t="shared" si="8"/>
        <v>1</v>
      </c>
      <c r="E567">
        <v>78.510000000000005</v>
      </c>
    </row>
    <row r="568" spans="2:5">
      <c r="B568" s="7">
        <v>45364</v>
      </c>
      <c r="C568" s="8">
        <v>2024</v>
      </c>
      <c r="D568" s="8" t="b">
        <f t="shared" si="8"/>
        <v>1</v>
      </c>
      <c r="E568">
        <v>80.67</v>
      </c>
    </row>
    <row r="569" spans="2:5">
      <c r="B569" s="7">
        <v>45365</v>
      </c>
      <c r="C569" s="8">
        <v>2024</v>
      </c>
      <c r="D569" s="8" t="b">
        <f t="shared" si="8"/>
        <v>1</v>
      </c>
      <c r="E569">
        <v>82.16</v>
      </c>
    </row>
    <row r="570" spans="2:5">
      <c r="B570" s="7">
        <v>45366</v>
      </c>
      <c r="C570" s="8">
        <v>2024</v>
      </c>
      <c r="D570" s="8" t="b">
        <f t="shared" si="8"/>
        <v>1</v>
      </c>
      <c r="E570">
        <v>81.94</v>
      </c>
    </row>
    <row r="571" spans="2:5">
      <c r="B571" s="7">
        <v>45369</v>
      </c>
      <c r="C571" s="8">
        <v>2024</v>
      </c>
      <c r="D571" s="8" t="b">
        <f t="shared" si="8"/>
        <v>1</v>
      </c>
      <c r="E571">
        <v>83.68</v>
      </c>
    </row>
    <row r="572" spans="2:5">
      <c r="B572" s="7">
        <v>45370</v>
      </c>
      <c r="C572" s="8">
        <v>2024</v>
      </c>
      <c r="D572" s="8" t="b">
        <f t="shared" si="8"/>
        <v>1</v>
      </c>
      <c r="E572">
        <v>84.39</v>
      </c>
    </row>
    <row r="573" spans="2:5">
      <c r="B573" s="7">
        <v>45371</v>
      </c>
      <c r="C573" s="8">
        <v>2024</v>
      </c>
      <c r="D573" s="8" t="b">
        <f t="shared" si="8"/>
        <v>1</v>
      </c>
      <c r="E573">
        <v>82.79</v>
      </c>
    </row>
    <row r="574" spans="2:5">
      <c r="B574" s="7">
        <v>45372</v>
      </c>
      <c r="C574" s="8">
        <v>2024</v>
      </c>
      <c r="D574" s="8" t="b">
        <f t="shared" si="8"/>
        <v>1</v>
      </c>
      <c r="E574">
        <v>81.99</v>
      </c>
    </row>
    <row r="575" spans="2:5">
      <c r="B575" s="7">
        <v>45373</v>
      </c>
      <c r="C575" s="8">
        <v>2024</v>
      </c>
      <c r="D575" s="8" t="b">
        <f t="shared" si="8"/>
        <v>1</v>
      </c>
      <c r="E575">
        <v>81.099999999999994</v>
      </c>
    </row>
    <row r="576" spans="2:5">
      <c r="B576" s="7">
        <v>45376</v>
      </c>
      <c r="C576" s="8">
        <v>2024</v>
      </c>
      <c r="D576" s="8" t="b">
        <f t="shared" si="8"/>
        <v>1</v>
      </c>
      <c r="E576">
        <v>82.41</v>
      </c>
    </row>
    <row r="577" spans="2:5">
      <c r="B577" s="7">
        <v>45377</v>
      </c>
      <c r="C577" s="8">
        <v>2024</v>
      </c>
      <c r="D577" s="8" t="b">
        <f t="shared" si="8"/>
        <v>1</v>
      </c>
      <c r="E577">
        <v>82.41</v>
      </c>
    </row>
    <row r="578" spans="2:5">
      <c r="B578" s="7">
        <v>45378</v>
      </c>
      <c r="C578" s="8">
        <v>2024</v>
      </c>
      <c r="D578" s="8" t="b">
        <f t="shared" si="8"/>
        <v>1</v>
      </c>
      <c r="E578">
        <v>82.15</v>
      </c>
    </row>
    <row r="579" spans="2:5">
      <c r="B579" s="7">
        <v>45379</v>
      </c>
      <c r="C579" s="8">
        <v>2024</v>
      </c>
      <c r="D579" s="8" t="b">
        <f t="shared" si="8"/>
        <v>1</v>
      </c>
      <c r="E579">
        <v>83.96</v>
      </c>
    </row>
    <row r="580" spans="2:5">
      <c r="B580" s="7">
        <v>45383</v>
      </c>
      <c r="C580" s="8">
        <v>2024</v>
      </c>
      <c r="D580" s="8" t="b">
        <f t="shared" ref="D580:D643" si="9">ISNUMBER(E580)</f>
        <v>1</v>
      </c>
      <c r="E580">
        <v>84.54</v>
      </c>
    </row>
    <row r="581" spans="2:5">
      <c r="B581" s="7">
        <v>45384</v>
      </c>
      <c r="C581" s="8">
        <v>2024</v>
      </c>
      <c r="D581" s="8" t="b">
        <f t="shared" si="9"/>
        <v>1</v>
      </c>
      <c r="E581">
        <v>85.95</v>
      </c>
    </row>
    <row r="582" spans="2:5">
      <c r="B582" s="7">
        <v>45385</v>
      </c>
      <c r="C582" s="8">
        <v>2024</v>
      </c>
      <c r="D582" s="8" t="b">
        <f t="shared" si="9"/>
        <v>1</v>
      </c>
      <c r="E582">
        <v>86.22</v>
      </c>
    </row>
    <row r="583" spans="2:5">
      <c r="B583" s="7">
        <v>45386</v>
      </c>
      <c r="C583" s="8">
        <v>2024</v>
      </c>
      <c r="D583" s="8" t="b">
        <f t="shared" si="9"/>
        <v>1</v>
      </c>
      <c r="E583">
        <v>87.37</v>
      </c>
    </row>
    <row r="584" spans="2:5">
      <c r="B584" s="7">
        <v>45387</v>
      </c>
      <c r="C584" s="8">
        <v>2024</v>
      </c>
      <c r="D584" s="8" t="b">
        <f t="shared" si="9"/>
        <v>1</v>
      </c>
      <c r="E584">
        <v>87.69</v>
      </c>
    </row>
    <row r="585" spans="2:5">
      <c r="B585" s="7">
        <v>45390</v>
      </c>
      <c r="C585" s="8">
        <v>2024</v>
      </c>
      <c r="D585" s="8" t="b">
        <f t="shared" si="9"/>
        <v>1</v>
      </c>
      <c r="E585">
        <v>87.24</v>
      </c>
    </row>
    <row r="586" spans="2:5">
      <c r="B586" s="7">
        <v>45391</v>
      </c>
      <c r="C586" s="8">
        <v>2024</v>
      </c>
      <c r="D586" s="8" t="b">
        <f t="shared" si="9"/>
        <v>1</v>
      </c>
      <c r="E586">
        <v>86.04</v>
      </c>
    </row>
    <row r="587" spans="2:5">
      <c r="B587" s="7">
        <v>45392</v>
      </c>
      <c r="C587" s="8">
        <v>2024</v>
      </c>
      <c r="D587" s="8" t="b">
        <f t="shared" si="9"/>
        <v>1</v>
      </c>
      <c r="E587">
        <v>86.98</v>
      </c>
    </row>
    <row r="588" spans="2:5">
      <c r="B588" s="7">
        <v>45393</v>
      </c>
      <c r="C588" s="8">
        <v>2024</v>
      </c>
      <c r="D588" s="8" t="b">
        <f t="shared" si="9"/>
        <v>1</v>
      </c>
      <c r="E588">
        <v>85.79</v>
      </c>
    </row>
    <row r="589" spans="2:5">
      <c r="B589" s="7">
        <v>45394</v>
      </c>
      <c r="C589" s="8">
        <v>2024</v>
      </c>
      <c r="D589" s="8" t="b">
        <f t="shared" si="9"/>
        <v>1</v>
      </c>
      <c r="E589">
        <v>86.46</v>
      </c>
    </row>
    <row r="590" spans="2:5">
      <c r="B590" s="7">
        <v>45397</v>
      </c>
      <c r="C590" s="8">
        <v>2024</v>
      </c>
      <c r="D590" s="8" t="b">
        <f t="shared" si="9"/>
        <v>1</v>
      </c>
      <c r="E590">
        <v>86.21</v>
      </c>
    </row>
    <row r="591" spans="2:5">
      <c r="B591" s="7">
        <v>45398</v>
      </c>
      <c r="C591" s="8">
        <v>2024</v>
      </c>
      <c r="D591" s="8" t="b">
        <f t="shared" si="9"/>
        <v>1</v>
      </c>
      <c r="E591">
        <v>86.15</v>
      </c>
    </row>
    <row r="592" spans="2:5">
      <c r="B592" s="7">
        <v>45399</v>
      </c>
      <c r="C592" s="8">
        <v>2024</v>
      </c>
      <c r="D592" s="8" t="b">
        <f t="shared" si="9"/>
        <v>1</v>
      </c>
      <c r="E592">
        <v>83.58</v>
      </c>
    </row>
    <row r="593" spans="2:5">
      <c r="B593" s="7">
        <v>45400</v>
      </c>
      <c r="C593" s="8">
        <v>2024</v>
      </c>
      <c r="D593" s="8" t="b">
        <f t="shared" si="9"/>
        <v>1</v>
      </c>
      <c r="E593">
        <v>83.5</v>
      </c>
    </row>
    <row r="594" spans="2:5">
      <c r="B594" s="7">
        <v>45401</v>
      </c>
      <c r="C594" s="8">
        <v>2024</v>
      </c>
      <c r="D594" s="8" t="b">
        <f t="shared" si="9"/>
        <v>1</v>
      </c>
      <c r="E594">
        <v>83.79</v>
      </c>
    </row>
    <row r="595" spans="2:5">
      <c r="B595" s="7">
        <v>45404</v>
      </c>
      <c r="C595" s="8">
        <v>2024</v>
      </c>
      <c r="D595" s="8" t="b">
        <f t="shared" si="9"/>
        <v>1</v>
      </c>
      <c r="E595">
        <v>83.82</v>
      </c>
    </row>
    <row r="596" spans="2:5">
      <c r="B596" s="7">
        <v>45405</v>
      </c>
      <c r="C596" s="8">
        <v>2024</v>
      </c>
      <c r="D596" s="8" t="b">
        <f t="shared" si="9"/>
        <v>1</v>
      </c>
      <c r="E596">
        <v>84.17</v>
      </c>
    </row>
    <row r="597" spans="2:5">
      <c r="B597" s="7">
        <v>45406</v>
      </c>
      <c r="C597" s="8">
        <v>2024</v>
      </c>
      <c r="D597" s="8" t="b">
        <f t="shared" si="9"/>
        <v>1</v>
      </c>
      <c r="E597">
        <v>84.09</v>
      </c>
    </row>
    <row r="598" spans="2:5">
      <c r="B598" s="7">
        <v>45407</v>
      </c>
      <c r="C598" s="8">
        <v>2024</v>
      </c>
      <c r="D598" s="8" t="b">
        <f t="shared" si="9"/>
        <v>1</v>
      </c>
      <c r="E598">
        <v>84.92</v>
      </c>
    </row>
    <row r="599" spans="2:5">
      <c r="B599" s="7">
        <v>45408</v>
      </c>
      <c r="C599" s="8">
        <v>2024</v>
      </c>
      <c r="D599" s="8" t="b">
        <f t="shared" si="9"/>
        <v>1</v>
      </c>
      <c r="E599">
        <v>85.38</v>
      </c>
    </row>
    <row r="600" spans="2:5">
      <c r="B600" s="7">
        <v>45411</v>
      </c>
      <c r="C600" s="8">
        <v>2024</v>
      </c>
      <c r="D600" s="8" t="b">
        <f t="shared" si="9"/>
        <v>1</v>
      </c>
      <c r="E600">
        <v>84.26</v>
      </c>
    </row>
    <row r="601" spans="2:5">
      <c r="B601" s="7">
        <v>45412</v>
      </c>
      <c r="C601" s="8">
        <v>2024</v>
      </c>
      <c r="D601" s="8" t="b">
        <f t="shared" si="9"/>
        <v>1</v>
      </c>
      <c r="E601">
        <v>83.49</v>
      </c>
    </row>
    <row r="602" spans="2:5">
      <c r="B602" s="7">
        <v>45413</v>
      </c>
      <c r="C602" s="8">
        <v>2024</v>
      </c>
      <c r="D602" s="8" t="b">
        <f t="shared" si="9"/>
        <v>1</v>
      </c>
      <c r="E602">
        <v>80.7</v>
      </c>
    </row>
    <row r="603" spans="2:5">
      <c r="B603" s="7">
        <v>45414</v>
      </c>
      <c r="C603" s="8">
        <v>2024</v>
      </c>
      <c r="D603" s="8" t="b">
        <f t="shared" si="9"/>
        <v>1</v>
      </c>
      <c r="E603">
        <v>80.59</v>
      </c>
    </row>
    <row r="604" spans="2:5">
      <c r="B604" s="7">
        <v>45415</v>
      </c>
      <c r="C604" s="8">
        <v>2024</v>
      </c>
      <c r="D604" s="8" t="b">
        <f t="shared" si="9"/>
        <v>1</v>
      </c>
      <c r="E604">
        <v>79.650000000000006</v>
      </c>
    </row>
    <row r="605" spans="2:5">
      <c r="B605" s="7">
        <v>45418</v>
      </c>
      <c r="C605" s="8">
        <v>2024</v>
      </c>
      <c r="D605" s="8" t="b">
        <f t="shared" si="9"/>
        <v>1</v>
      </c>
      <c r="E605">
        <v>80.099999999999994</v>
      </c>
    </row>
    <row r="606" spans="2:5">
      <c r="B606" s="7">
        <v>45419</v>
      </c>
      <c r="C606" s="8">
        <v>2024</v>
      </c>
      <c r="D606" s="8" t="b">
        <f t="shared" si="9"/>
        <v>1</v>
      </c>
      <c r="E606">
        <v>79.97</v>
      </c>
    </row>
    <row r="607" spans="2:5">
      <c r="B607" s="7">
        <v>45420</v>
      </c>
      <c r="C607" s="8">
        <v>2024</v>
      </c>
      <c r="D607" s="8" t="b">
        <f t="shared" si="9"/>
        <v>1</v>
      </c>
      <c r="E607">
        <v>80.569999999999993</v>
      </c>
    </row>
    <row r="608" spans="2:5">
      <c r="B608" s="7">
        <v>45421</v>
      </c>
      <c r="C608" s="8">
        <v>2024</v>
      </c>
      <c r="D608" s="8" t="b">
        <f t="shared" si="9"/>
        <v>1</v>
      </c>
      <c r="E608">
        <v>80.86</v>
      </c>
    </row>
    <row r="609" spans="2:5">
      <c r="B609" s="7">
        <v>45422</v>
      </c>
      <c r="C609" s="8">
        <v>2024</v>
      </c>
      <c r="D609" s="8" t="b">
        <f t="shared" si="9"/>
        <v>1</v>
      </c>
      <c r="E609">
        <v>79.81</v>
      </c>
    </row>
    <row r="610" spans="2:5">
      <c r="B610" s="7">
        <v>45425</v>
      </c>
      <c r="C610" s="8">
        <v>2024</v>
      </c>
      <c r="D610" s="8" t="b">
        <f t="shared" si="9"/>
        <v>1</v>
      </c>
      <c r="E610">
        <v>80.709999999999994</v>
      </c>
    </row>
    <row r="611" spans="2:5">
      <c r="B611" s="7">
        <v>45426</v>
      </c>
      <c r="C611" s="8">
        <v>2024</v>
      </c>
      <c r="D611" s="8" t="b">
        <f t="shared" si="9"/>
        <v>1</v>
      </c>
      <c r="E611">
        <v>79.62</v>
      </c>
    </row>
    <row r="612" spans="2:5">
      <c r="B612" s="7">
        <v>45427</v>
      </c>
      <c r="C612" s="8">
        <v>2024</v>
      </c>
      <c r="D612" s="8" t="b">
        <f t="shared" si="9"/>
        <v>1</v>
      </c>
      <c r="E612">
        <v>80.23</v>
      </c>
    </row>
    <row r="613" spans="2:5">
      <c r="B613" s="7">
        <v>45428</v>
      </c>
      <c r="C613" s="8">
        <v>2024</v>
      </c>
      <c r="D613" s="8" t="b">
        <f t="shared" si="9"/>
        <v>1</v>
      </c>
      <c r="E613">
        <v>80.849999999999994</v>
      </c>
    </row>
    <row r="614" spans="2:5">
      <c r="B614" s="7">
        <v>45429</v>
      </c>
      <c r="C614" s="8">
        <v>2024</v>
      </c>
      <c r="D614" s="8" t="b">
        <f t="shared" si="9"/>
        <v>1</v>
      </c>
      <c r="E614">
        <v>81.66</v>
      </c>
    </row>
    <row r="615" spans="2:5">
      <c r="B615" s="7">
        <v>45432</v>
      </c>
      <c r="C615" s="8">
        <v>2024</v>
      </c>
      <c r="D615" s="8" t="b">
        <f t="shared" si="9"/>
        <v>1</v>
      </c>
      <c r="E615">
        <v>81.39</v>
      </c>
    </row>
    <row r="616" spans="2:5">
      <c r="B616" s="7">
        <v>45433</v>
      </c>
      <c r="C616" s="8">
        <v>2024</v>
      </c>
      <c r="D616" s="8" t="b">
        <f t="shared" si="9"/>
        <v>1</v>
      </c>
      <c r="E616">
        <v>80.66</v>
      </c>
    </row>
    <row r="617" spans="2:5">
      <c r="B617" s="7">
        <v>45434</v>
      </c>
      <c r="C617" s="8">
        <v>2024</v>
      </c>
      <c r="D617" s="8" t="b">
        <f t="shared" si="9"/>
        <v>1</v>
      </c>
      <c r="E617">
        <v>79.150000000000006</v>
      </c>
    </row>
    <row r="618" spans="2:5">
      <c r="B618" s="7">
        <v>45435</v>
      </c>
      <c r="C618" s="8">
        <v>2024</v>
      </c>
      <c r="D618" s="8" t="b">
        <f t="shared" si="9"/>
        <v>1</v>
      </c>
      <c r="E618">
        <v>77.47</v>
      </c>
    </row>
    <row r="619" spans="2:5">
      <c r="B619" s="7">
        <v>45436</v>
      </c>
      <c r="C619" s="8">
        <v>2024</v>
      </c>
      <c r="D619" s="8" t="b">
        <f t="shared" si="9"/>
        <v>1</v>
      </c>
      <c r="E619">
        <v>78.48</v>
      </c>
    </row>
    <row r="620" spans="2:5">
      <c r="B620" s="7">
        <v>45440</v>
      </c>
      <c r="C620" s="8">
        <v>2024</v>
      </c>
      <c r="D620" s="8" t="b">
        <f t="shared" si="9"/>
        <v>1</v>
      </c>
      <c r="E620">
        <v>80.900000000000006</v>
      </c>
    </row>
    <row r="621" spans="2:5">
      <c r="B621" s="7">
        <v>45441</v>
      </c>
      <c r="C621" s="8">
        <v>2024</v>
      </c>
      <c r="D621" s="8" t="b">
        <f t="shared" si="9"/>
        <v>1</v>
      </c>
      <c r="E621">
        <v>80.239999999999995</v>
      </c>
    </row>
    <row r="622" spans="2:5">
      <c r="B622" s="7">
        <v>45442</v>
      </c>
      <c r="C622" s="8">
        <v>2024</v>
      </c>
      <c r="D622" s="8" t="b">
        <f t="shared" si="9"/>
        <v>1</v>
      </c>
      <c r="E622">
        <v>78.959999999999994</v>
      </c>
    </row>
    <row r="623" spans="2:5">
      <c r="B623" s="7">
        <v>45443</v>
      </c>
      <c r="C623" s="8">
        <v>2024</v>
      </c>
      <c r="D623" s="8" t="b">
        <f t="shared" si="9"/>
        <v>1</v>
      </c>
      <c r="E623">
        <v>77.97</v>
      </c>
    </row>
    <row r="624" spans="2:5">
      <c r="B624" s="7">
        <v>45446</v>
      </c>
      <c r="C624" s="8">
        <v>2024</v>
      </c>
      <c r="D624" s="8" t="b">
        <f t="shared" si="9"/>
        <v>1</v>
      </c>
      <c r="E624">
        <v>75.260000000000005</v>
      </c>
    </row>
    <row r="625" spans="2:5">
      <c r="B625" s="7">
        <v>45447</v>
      </c>
      <c r="C625" s="8">
        <v>2024</v>
      </c>
      <c r="D625" s="8" t="b">
        <f t="shared" si="9"/>
        <v>1</v>
      </c>
      <c r="E625">
        <v>74.27</v>
      </c>
    </row>
    <row r="626" spans="2:5">
      <c r="B626" s="7">
        <v>45448</v>
      </c>
      <c r="C626" s="8">
        <v>2024</v>
      </c>
      <c r="D626" s="8" t="b">
        <f t="shared" si="9"/>
        <v>1</v>
      </c>
      <c r="E626">
        <v>75.08</v>
      </c>
    </row>
    <row r="627" spans="2:5">
      <c r="B627" s="7">
        <v>45449</v>
      </c>
      <c r="C627" s="8">
        <v>2024</v>
      </c>
      <c r="D627" s="8" t="b">
        <f t="shared" si="9"/>
        <v>1</v>
      </c>
      <c r="E627">
        <v>76.52</v>
      </c>
    </row>
    <row r="628" spans="2:5">
      <c r="B628" s="7">
        <v>45450</v>
      </c>
      <c r="C628" s="8">
        <v>2024</v>
      </c>
      <c r="D628" s="8" t="b">
        <f t="shared" si="9"/>
        <v>1</v>
      </c>
      <c r="E628">
        <v>76.53</v>
      </c>
    </row>
    <row r="629" spans="2:5">
      <c r="B629" s="7">
        <v>45453</v>
      </c>
      <c r="C629" s="8">
        <v>2024</v>
      </c>
      <c r="D629" s="8" t="b">
        <f t="shared" si="9"/>
        <v>1</v>
      </c>
      <c r="E629">
        <v>78.75</v>
      </c>
    </row>
    <row r="630" spans="2:5">
      <c r="B630" s="7">
        <v>45454</v>
      </c>
      <c r="C630" s="8">
        <v>2024</v>
      </c>
      <c r="D630" s="8" t="b">
        <f t="shared" si="9"/>
        <v>1</v>
      </c>
      <c r="E630">
        <v>78.88</v>
      </c>
    </row>
    <row r="631" spans="2:5">
      <c r="B631" s="7">
        <v>45455</v>
      </c>
      <c r="C631" s="8">
        <v>2024</v>
      </c>
      <c r="D631" s="8" t="b">
        <f t="shared" si="9"/>
        <v>1</v>
      </c>
      <c r="E631">
        <v>79.56</v>
      </c>
    </row>
    <row r="632" spans="2:5">
      <c r="B632" s="7">
        <v>45456</v>
      </c>
      <c r="C632" s="8">
        <v>2024</v>
      </c>
      <c r="D632" s="8" t="b">
        <f t="shared" si="9"/>
        <v>1</v>
      </c>
      <c r="E632">
        <v>79.61</v>
      </c>
    </row>
    <row r="633" spans="2:5">
      <c r="B633" s="7">
        <v>45457</v>
      </c>
      <c r="C633" s="8">
        <v>2024</v>
      </c>
      <c r="D633" s="8" t="b">
        <f t="shared" si="9"/>
        <v>1</v>
      </c>
      <c r="E633">
        <v>79.41</v>
      </c>
    </row>
    <row r="634" spans="2:5">
      <c r="B634" s="7">
        <v>45460</v>
      </c>
      <c r="C634" s="8">
        <v>2024</v>
      </c>
      <c r="D634" s="8" t="b">
        <f t="shared" si="9"/>
        <v>1</v>
      </c>
      <c r="E634">
        <v>81.33</v>
      </c>
    </row>
    <row r="635" spans="2:5">
      <c r="B635" s="7">
        <v>45461</v>
      </c>
      <c r="C635" s="8">
        <v>2024</v>
      </c>
      <c r="D635" s="8" t="b">
        <f t="shared" si="9"/>
        <v>1</v>
      </c>
      <c r="E635">
        <v>82.67</v>
      </c>
    </row>
    <row r="636" spans="2:5">
      <c r="B636" s="7">
        <v>45462</v>
      </c>
      <c r="C636" s="8">
        <v>2024</v>
      </c>
      <c r="D636" s="8" t="b">
        <f t="shared" si="9"/>
        <v>0</v>
      </c>
    </row>
    <row r="637" spans="2:5">
      <c r="B637" s="7">
        <v>45463</v>
      </c>
      <c r="C637" s="8">
        <v>2024</v>
      </c>
      <c r="D637" s="8" t="b">
        <f t="shared" si="9"/>
        <v>1</v>
      </c>
      <c r="E637">
        <v>83.34</v>
      </c>
    </row>
    <row r="638" spans="2:5">
      <c r="B638" s="7">
        <v>45464</v>
      </c>
      <c r="C638" s="8">
        <v>2024</v>
      </c>
      <c r="D638" s="8" t="b">
        <f t="shared" si="9"/>
        <v>1</v>
      </c>
      <c r="E638">
        <v>81.709999999999994</v>
      </c>
    </row>
    <row r="639" spans="2:5">
      <c r="B639" s="7">
        <v>45467</v>
      </c>
      <c r="C639" s="8">
        <v>2024</v>
      </c>
      <c r="D639" s="8" t="b">
        <f t="shared" si="9"/>
        <v>1</v>
      </c>
      <c r="E639">
        <v>82.63</v>
      </c>
    </row>
    <row r="640" spans="2:5">
      <c r="B640" s="7">
        <v>45468</v>
      </c>
      <c r="C640" s="8">
        <v>2024</v>
      </c>
      <c r="D640" s="8" t="b">
        <f t="shared" si="9"/>
        <v>1</v>
      </c>
      <c r="E640">
        <v>81.97</v>
      </c>
    </row>
    <row r="641" spans="2:5">
      <c r="B641" s="7">
        <v>45469</v>
      </c>
      <c r="C641" s="8">
        <v>2024</v>
      </c>
      <c r="D641" s="8" t="b">
        <f t="shared" si="9"/>
        <v>1</v>
      </c>
      <c r="E641">
        <v>82.19</v>
      </c>
    </row>
    <row r="642" spans="2:5">
      <c r="B642" s="7">
        <v>45470</v>
      </c>
      <c r="C642" s="8">
        <v>2024</v>
      </c>
      <c r="D642" s="8" t="b">
        <f t="shared" si="9"/>
        <v>1</v>
      </c>
      <c r="E642">
        <v>83.04</v>
      </c>
    </row>
    <row r="643" spans="2:5">
      <c r="B643" s="7">
        <v>45471</v>
      </c>
      <c r="C643" s="8">
        <v>2024</v>
      </c>
      <c r="D643" s="8" t="b">
        <f t="shared" si="9"/>
        <v>1</v>
      </c>
      <c r="E643">
        <v>82.83</v>
      </c>
    </row>
    <row r="644" spans="2:5">
      <c r="B644" s="7">
        <v>45474</v>
      </c>
      <c r="C644" s="8">
        <v>2024</v>
      </c>
      <c r="D644" s="8" t="b">
        <f t="shared" ref="D644:D707" si="10">ISNUMBER(E644)</f>
        <v>1</v>
      </c>
      <c r="E644">
        <v>84.7</v>
      </c>
    </row>
    <row r="645" spans="2:5">
      <c r="B645" s="7">
        <v>45475</v>
      </c>
      <c r="C645" s="8">
        <v>2024</v>
      </c>
      <c r="D645" s="8" t="b">
        <f t="shared" si="10"/>
        <v>1</v>
      </c>
      <c r="E645">
        <v>84.09</v>
      </c>
    </row>
    <row r="646" spans="2:5">
      <c r="B646" s="7">
        <v>45476</v>
      </c>
      <c r="C646" s="8">
        <v>2024</v>
      </c>
      <c r="D646" s="8" t="b">
        <f t="shared" si="10"/>
        <v>1</v>
      </c>
      <c r="E646">
        <v>85.19</v>
      </c>
    </row>
    <row r="647" spans="2:5">
      <c r="B647" s="7">
        <v>45477</v>
      </c>
      <c r="C647" s="8">
        <v>2024</v>
      </c>
      <c r="D647" s="8" t="b">
        <f t="shared" si="10"/>
        <v>0</v>
      </c>
    </row>
    <row r="648" spans="2:5">
      <c r="B648" s="7">
        <v>45478</v>
      </c>
      <c r="C648" s="8">
        <v>2024</v>
      </c>
      <c r="D648" s="8" t="b">
        <f t="shared" si="10"/>
        <v>1</v>
      </c>
      <c r="E648">
        <v>84.44</v>
      </c>
    </row>
    <row r="649" spans="2:5">
      <c r="B649" s="7">
        <v>45481</v>
      </c>
      <c r="C649" s="8">
        <v>2024</v>
      </c>
      <c r="D649" s="8" t="b">
        <f t="shared" si="10"/>
        <v>1</v>
      </c>
      <c r="E649">
        <v>83.63</v>
      </c>
    </row>
    <row r="650" spans="2:5">
      <c r="B650" s="7">
        <v>45482</v>
      </c>
      <c r="C650" s="8">
        <v>2024</v>
      </c>
      <c r="D650" s="8" t="b">
        <f t="shared" si="10"/>
        <v>1</v>
      </c>
      <c r="E650">
        <v>82.78</v>
      </c>
    </row>
    <row r="651" spans="2:5">
      <c r="B651" s="7">
        <v>45483</v>
      </c>
      <c r="C651" s="8">
        <v>2024</v>
      </c>
      <c r="D651" s="8" t="b">
        <f t="shared" si="10"/>
        <v>1</v>
      </c>
      <c r="E651">
        <v>83.39</v>
      </c>
    </row>
    <row r="652" spans="2:5">
      <c r="B652" s="7">
        <v>45484</v>
      </c>
      <c r="C652" s="8">
        <v>2024</v>
      </c>
      <c r="D652" s="8" t="b">
        <f t="shared" si="10"/>
        <v>1</v>
      </c>
      <c r="E652">
        <v>83.92</v>
      </c>
    </row>
    <row r="653" spans="2:5">
      <c r="B653" s="7">
        <v>45485</v>
      </c>
      <c r="C653" s="8">
        <v>2024</v>
      </c>
      <c r="D653" s="8" t="b">
        <f t="shared" si="10"/>
        <v>1</v>
      </c>
      <c r="E653">
        <v>83.49</v>
      </c>
    </row>
    <row r="654" spans="2:5">
      <c r="B654" s="7">
        <v>45488</v>
      </c>
      <c r="C654" s="8">
        <v>2024</v>
      </c>
      <c r="D654" s="8" t="b">
        <f t="shared" si="10"/>
        <v>1</v>
      </c>
      <c r="E654">
        <v>83.22</v>
      </c>
    </row>
    <row r="655" spans="2:5">
      <c r="B655" s="7">
        <v>45489</v>
      </c>
      <c r="C655" s="8">
        <v>2024</v>
      </c>
      <c r="D655" s="8" t="b">
        <f t="shared" si="10"/>
        <v>1</v>
      </c>
      <c r="E655">
        <v>81.92</v>
      </c>
    </row>
    <row r="656" spans="2:5">
      <c r="B656" s="7">
        <v>45490</v>
      </c>
      <c r="C656" s="8">
        <v>2024</v>
      </c>
      <c r="D656" s="8" t="b">
        <f t="shared" si="10"/>
        <v>1</v>
      </c>
      <c r="E656">
        <v>84.16</v>
      </c>
    </row>
    <row r="657" spans="2:5">
      <c r="B657" s="7">
        <v>45491</v>
      </c>
      <c r="C657" s="8">
        <v>2024</v>
      </c>
      <c r="D657" s="8" t="b">
        <f t="shared" si="10"/>
        <v>1</v>
      </c>
      <c r="E657">
        <v>84.17</v>
      </c>
    </row>
    <row r="658" spans="2:5">
      <c r="B658" s="7">
        <v>45492</v>
      </c>
      <c r="C658" s="8">
        <v>2024</v>
      </c>
      <c r="D658" s="8" t="b">
        <f t="shared" si="10"/>
        <v>1</v>
      </c>
      <c r="E658">
        <v>81.430000000000007</v>
      </c>
    </row>
    <row r="659" spans="2:5">
      <c r="B659" s="7">
        <v>45495</v>
      </c>
      <c r="C659" s="8">
        <v>2024</v>
      </c>
      <c r="D659" s="8" t="b">
        <f t="shared" si="10"/>
        <v>1</v>
      </c>
      <c r="E659">
        <v>81.25</v>
      </c>
    </row>
    <row r="660" spans="2:5">
      <c r="B660" s="7">
        <v>45496</v>
      </c>
      <c r="C660" s="8">
        <v>2024</v>
      </c>
      <c r="D660" s="8" t="b">
        <f t="shared" si="10"/>
        <v>1</v>
      </c>
      <c r="E660">
        <v>78.239999999999995</v>
      </c>
    </row>
    <row r="661" spans="2:5">
      <c r="B661" s="7">
        <v>45497</v>
      </c>
      <c r="C661" s="8">
        <v>2024</v>
      </c>
      <c r="D661" s="8" t="b">
        <f t="shared" si="10"/>
        <v>1</v>
      </c>
      <c r="E661">
        <v>78.78</v>
      </c>
    </row>
    <row r="662" spans="2:5">
      <c r="B662" s="7">
        <v>45498</v>
      </c>
      <c r="C662" s="8">
        <v>2024</v>
      </c>
      <c r="D662" s="8" t="b">
        <f t="shared" si="10"/>
        <v>1</v>
      </c>
      <c r="E662">
        <v>79.430000000000007</v>
      </c>
    </row>
    <row r="663" spans="2:5">
      <c r="B663" s="7">
        <v>45499</v>
      </c>
      <c r="C663" s="8">
        <v>2024</v>
      </c>
      <c r="D663" s="8" t="b">
        <f t="shared" si="10"/>
        <v>1</v>
      </c>
      <c r="E663">
        <v>78.58</v>
      </c>
    </row>
    <row r="664" spans="2:5">
      <c r="B664" s="7">
        <v>45502</v>
      </c>
      <c r="C664" s="8">
        <v>2024</v>
      </c>
      <c r="D664" s="8" t="b">
        <f t="shared" si="10"/>
        <v>1</v>
      </c>
      <c r="E664">
        <v>77.27</v>
      </c>
    </row>
    <row r="665" spans="2:5">
      <c r="B665" s="7">
        <v>45503</v>
      </c>
      <c r="C665" s="8">
        <v>2024</v>
      </c>
      <c r="D665" s="8" t="b">
        <f t="shared" si="10"/>
        <v>1</v>
      </c>
      <c r="E665">
        <v>76.17</v>
      </c>
    </row>
    <row r="666" spans="2:5">
      <c r="B666" s="7">
        <v>45504</v>
      </c>
      <c r="C666" s="8">
        <v>2024</v>
      </c>
      <c r="D666" s="8" t="b">
        <f t="shared" si="10"/>
        <v>1</v>
      </c>
      <c r="E666">
        <v>79.36</v>
      </c>
    </row>
    <row r="667" spans="2:5">
      <c r="B667" s="7">
        <v>45505</v>
      </c>
      <c r="C667" s="8">
        <v>2024</v>
      </c>
      <c r="D667" s="8" t="b">
        <f t="shared" si="10"/>
        <v>1</v>
      </c>
      <c r="E667">
        <v>77.739999999999995</v>
      </c>
    </row>
    <row r="668" spans="2:5">
      <c r="B668" s="7">
        <v>45506</v>
      </c>
      <c r="C668" s="8">
        <v>2024</v>
      </c>
      <c r="D668" s="8" t="b">
        <f t="shared" si="10"/>
        <v>1</v>
      </c>
      <c r="E668">
        <v>74.989999999999995</v>
      </c>
    </row>
    <row r="669" spans="2:5">
      <c r="B669" s="7">
        <v>45509</v>
      </c>
      <c r="C669" s="8">
        <v>2024</v>
      </c>
      <c r="D669" s="8" t="b">
        <f t="shared" si="10"/>
        <v>1</v>
      </c>
      <c r="E669">
        <v>74.459999999999994</v>
      </c>
    </row>
    <row r="670" spans="2:5">
      <c r="B670" s="7">
        <v>45510</v>
      </c>
      <c r="C670" s="8">
        <v>2024</v>
      </c>
      <c r="D670" s="8" t="b">
        <f t="shared" si="10"/>
        <v>1</v>
      </c>
      <c r="E670">
        <v>74.599999999999994</v>
      </c>
    </row>
    <row r="671" spans="2:5">
      <c r="B671" s="7">
        <v>45511</v>
      </c>
      <c r="C671" s="8">
        <v>2024</v>
      </c>
      <c r="D671" s="8" t="b">
        <f t="shared" si="10"/>
        <v>1</v>
      </c>
      <c r="E671">
        <v>76.680000000000007</v>
      </c>
    </row>
    <row r="672" spans="2:5">
      <c r="B672" s="7">
        <v>45512</v>
      </c>
      <c r="C672" s="8">
        <v>2024</v>
      </c>
      <c r="D672" s="8" t="b">
        <f t="shared" si="10"/>
        <v>1</v>
      </c>
      <c r="E672">
        <v>77.64</v>
      </c>
    </row>
    <row r="673" spans="2:5">
      <c r="B673" s="7">
        <v>45513</v>
      </c>
      <c r="C673" s="8">
        <v>2024</v>
      </c>
      <c r="D673" s="8" t="b">
        <f t="shared" si="10"/>
        <v>1</v>
      </c>
      <c r="E673">
        <v>78.28</v>
      </c>
    </row>
    <row r="674" spans="2:5">
      <c r="B674" s="7">
        <v>45516</v>
      </c>
      <c r="C674" s="8">
        <v>2024</v>
      </c>
      <c r="D674" s="8" t="b">
        <f t="shared" si="10"/>
        <v>1</v>
      </c>
      <c r="E674">
        <v>81.45</v>
      </c>
    </row>
    <row r="675" spans="2:5">
      <c r="B675" s="7">
        <v>45517</v>
      </c>
      <c r="C675" s="8">
        <v>2024</v>
      </c>
      <c r="D675" s="8" t="b">
        <f t="shared" si="10"/>
        <v>1</v>
      </c>
      <c r="E675">
        <v>79.81</v>
      </c>
    </row>
    <row r="676" spans="2:5">
      <c r="B676" s="7">
        <v>45518</v>
      </c>
      <c r="C676" s="8">
        <v>2024</v>
      </c>
      <c r="D676" s="8" t="b">
        <f t="shared" si="10"/>
        <v>1</v>
      </c>
      <c r="E676">
        <v>78.47</v>
      </c>
    </row>
    <row r="677" spans="2:5">
      <c r="B677" s="7">
        <v>45519</v>
      </c>
      <c r="C677" s="8">
        <v>2024</v>
      </c>
      <c r="D677" s="8" t="b">
        <f t="shared" si="10"/>
        <v>1</v>
      </c>
      <c r="E677">
        <v>79.66</v>
      </c>
    </row>
    <row r="678" spans="2:5">
      <c r="B678" s="7">
        <v>45520</v>
      </c>
      <c r="C678" s="8">
        <v>2024</v>
      </c>
      <c r="D678" s="8" t="b">
        <f t="shared" si="10"/>
        <v>1</v>
      </c>
      <c r="E678">
        <v>78.05</v>
      </c>
    </row>
    <row r="679" spans="2:5">
      <c r="B679" s="7">
        <v>45523</v>
      </c>
      <c r="C679" s="8">
        <v>2024</v>
      </c>
      <c r="D679" s="8" t="b">
        <f t="shared" si="10"/>
        <v>1</v>
      </c>
      <c r="E679">
        <v>75.819999999999993</v>
      </c>
    </row>
    <row r="680" spans="2:5">
      <c r="B680" s="7">
        <v>45524</v>
      </c>
      <c r="C680" s="8">
        <v>2024</v>
      </c>
      <c r="D680" s="8" t="b">
        <f t="shared" si="10"/>
        <v>1</v>
      </c>
      <c r="E680">
        <v>75.27</v>
      </c>
    </row>
    <row r="681" spans="2:5">
      <c r="B681" s="7">
        <v>45525</v>
      </c>
      <c r="C681" s="8">
        <v>2024</v>
      </c>
      <c r="D681" s="8" t="b">
        <f t="shared" si="10"/>
        <v>1</v>
      </c>
      <c r="E681">
        <v>72.760000000000005</v>
      </c>
    </row>
    <row r="682" spans="2:5">
      <c r="B682" s="7">
        <v>45526</v>
      </c>
      <c r="C682" s="8">
        <v>2024</v>
      </c>
      <c r="D682" s="8" t="b">
        <f t="shared" si="10"/>
        <v>1</v>
      </c>
      <c r="E682">
        <v>73.72</v>
      </c>
    </row>
    <row r="683" spans="2:5">
      <c r="B683" s="7">
        <v>45527</v>
      </c>
      <c r="C683" s="8">
        <v>2024</v>
      </c>
      <c r="D683" s="8" t="b">
        <f t="shared" si="10"/>
        <v>1</v>
      </c>
      <c r="E683">
        <v>75.819999999999993</v>
      </c>
    </row>
    <row r="684" spans="2:5">
      <c r="B684" s="7">
        <v>45530</v>
      </c>
      <c r="C684" s="8">
        <v>2024</v>
      </c>
      <c r="D684" s="8" t="b">
        <f t="shared" si="10"/>
        <v>1</v>
      </c>
      <c r="E684">
        <v>78.400000000000006</v>
      </c>
    </row>
    <row r="685" spans="2:5">
      <c r="B685" s="7">
        <v>45531</v>
      </c>
      <c r="C685" s="8">
        <v>2024</v>
      </c>
      <c r="D685" s="8" t="b">
        <f t="shared" si="10"/>
        <v>1</v>
      </c>
      <c r="E685">
        <v>76.5</v>
      </c>
    </row>
    <row r="686" spans="2:5">
      <c r="B686" s="7">
        <v>45532</v>
      </c>
      <c r="C686" s="8">
        <v>2024</v>
      </c>
      <c r="D686" s="8" t="b">
        <f t="shared" si="10"/>
        <v>1</v>
      </c>
      <c r="E686">
        <v>75.489999999999995</v>
      </c>
    </row>
    <row r="687" spans="2:5">
      <c r="B687" s="7">
        <v>45533</v>
      </c>
      <c r="C687" s="8">
        <v>2024</v>
      </c>
      <c r="D687" s="8" t="b">
        <f t="shared" si="10"/>
        <v>1</v>
      </c>
      <c r="E687">
        <v>76.900000000000006</v>
      </c>
    </row>
    <row r="688" spans="2:5">
      <c r="B688" s="7">
        <v>45534</v>
      </c>
      <c r="C688" s="8">
        <v>2024</v>
      </c>
      <c r="D688" s="8" t="b">
        <f t="shared" si="10"/>
        <v>1</v>
      </c>
      <c r="E688">
        <v>74.52</v>
      </c>
    </row>
    <row r="689" spans="2:5">
      <c r="B689" s="7">
        <v>45537</v>
      </c>
      <c r="C689" s="8">
        <v>2024</v>
      </c>
      <c r="D689" s="8" t="b">
        <f t="shared" si="10"/>
        <v>0</v>
      </c>
    </row>
    <row r="690" spans="2:5">
      <c r="B690" s="7">
        <v>45538</v>
      </c>
      <c r="C690" s="8">
        <v>2024</v>
      </c>
      <c r="D690" s="8" t="b">
        <f t="shared" si="10"/>
        <v>1</v>
      </c>
      <c r="E690">
        <v>71.28</v>
      </c>
    </row>
    <row r="691" spans="2:5">
      <c r="B691" s="7">
        <v>45539</v>
      </c>
      <c r="C691" s="8">
        <v>2024</v>
      </c>
      <c r="D691" s="8" t="b">
        <f t="shared" si="10"/>
        <v>1</v>
      </c>
      <c r="E691">
        <v>70.11</v>
      </c>
    </row>
    <row r="692" spans="2:5">
      <c r="B692" s="7">
        <v>45540</v>
      </c>
      <c r="C692" s="8">
        <v>2024</v>
      </c>
      <c r="D692" s="8" t="b">
        <f t="shared" si="10"/>
        <v>1</v>
      </c>
      <c r="E692">
        <v>70.09</v>
      </c>
    </row>
    <row r="693" spans="2:5">
      <c r="B693" s="7">
        <v>45541</v>
      </c>
      <c r="C693" s="8">
        <v>2024</v>
      </c>
      <c r="D693" s="8" t="b">
        <f t="shared" si="10"/>
        <v>1</v>
      </c>
      <c r="E693">
        <v>68.58</v>
      </c>
    </row>
    <row r="694" spans="2:5">
      <c r="B694" s="7">
        <v>45544</v>
      </c>
      <c r="C694" s="8">
        <v>2024</v>
      </c>
      <c r="D694" s="8" t="b">
        <f t="shared" si="10"/>
        <v>1</v>
      </c>
      <c r="E694">
        <v>69.650000000000006</v>
      </c>
    </row>
    <row r="695" spans="2:5">
      <c r="B695" s="7">
        <v>45545</v>
      </c>
      <c r="C695" s="8">
        <v>2024</v>
      </c>
      <c r="D695" s="8" t="b">
        <f t="shared" si="10"/>
        <v>1</v>
      </c>
      <c r="E695">
        <v>66.73</v>
      </c>
    </row>
    <row r="696" spans="2:5">
      <c r="B696" s="7">
        <v>45546</v>
      </c>
      <c r="C696" s="8">
        <v>2024</v>
      </c>
      <c r="D696" s="8" t="b">
        <f t="shared" si="10"/>
        <v>1</v>
      </c>
      <c r="E696">
        <v>68.25</v>
      </c>
    </row>
    <row r="697" spans="2:5">
      <c r="B697" s="7">
        <v>45547</v>
      </c>
      <c r="C697" s="8">
        <v>2024</v>
      </c>
      <c r="D697" s="8" t="b">
        <f t="shared" si="10"/>
        <v>1</v>
      </c>
      <c r="E697">
        <v>69.89</v>
      </c>
    </row>
    <row r="698" spans="2:5">
      <c r="B698" s="7">
        <v>45548</v>
      </c>
      <c r="C698" s="8">
        <v>2024</v>
      </c>
      <c r="D698" s="8" t="b">
        <f t="shared" si="10"/>
        <v>1</v>
      </c>
      <c r="E698">
        <v>69.59</v>
      </c>
    </row>
    <row r="699" spans="2:5">
      <c r="B699" s="7">
        <v>45551</v>
      </c>
      <c r="C699" s="8">
        <v>2024</v>
      </c>
      <c r="D699" s="8" t="b">
        <f t="shared" si="10"/>
        <v>1</v>
      </c>
      <c r="E699">
        <v>71.099999999999994</v>
      </c>
    </row>
    <row r="700" spans="2:5">
      <c r="B700" s="7">
        <v>45552</v>
      </c>
      <c r="C700" s="8">
        <v>2024</v>
      </c>
      <c r="D700" s="8" t="b">
        <f t="shared" si="10"/>
        <v>1</v>
      </c>
      <c r="E700">
        <v>72.16</v>
      </c>
    </row>
    <row r="701" spans="2:5">
      <c r="B701" s="7">
        <v>45553</v>
      </c>
      <c r="C701" s="8">
        <v>2024</v>
      </c>
      <c r="D701" s="8" t="b">
        <f t="shared" si="10"/>
        <v>1</v>
      </c>
      <c r="E701">
        <v>71.87</v>
      </c>
    </row>
    <row r="702" spans="2:5">
      <c r="B702" s="7">
        <v>45554</v>
      </c>
      <c r="C702" s="8">
        <v>2024</v>
      </c>
      <c r="D702" s="8" t="b">
        <f t="shared" si="10"/>
        <v>1</v>
      </c>
      <c r="E702">
        <v>72.86</v>
      </c>
    </row>
    <row r="703" spans="2:5">
      <c r="B703" s="7">
        <v>45555</v>
      </c>
      <c r="C703" s="8">
        <v>2024</v>
      </c>
      <c r="D703" s="8" t="b">
        <f t="shared" si="10"/>
        <v>1</v>
      </c>
      <c r="E703">
        <v>72.72</v>
      </c>
    </row>
    <row r="704" spans="2:5">
      <c r="B704" s="7">
        <v>45558</v>
      </c>
      <c r="C704" s="8">
        <v>2024</v>
      </c>
      <c r="D704" s="8" t="b">
        <f t="shared" si="10"/>
        <v>1</v>
      </c>
      <c r="E704">
        <v>71.33</v>
      </c>
    </row>
    <row r="705" spans="2:5">
      <c r="B705" s="7">
        <v>45559</v>
      </c>
      <c r="C705" s="8">
        <v>2024</v>
      </c>
      <c r="D705" s="8" t="b">
        <f t="shared" si="10"/>
        <v>1</v>
      </c>
      <c r="E705">
        <v>72.34</v>
      </c>
    </row>
    <row r="706" spans="2:5">
      <c r="B706" s="7">
        <v>45560</v>
      </c>
      <c r="C706" s="8">
        <v>2024</v>
      </c>
      <c r="D706" s="8" t="b">
        <f t="shared" si="10"/>
        <v>1</v>
      </c>
      <c r="E706">
        <v>70.42</v>
      </c>
    </row>
    <row r="707" spans="2:5">
      <c r="B707" s="7">
        <v>45561</v>
      </c>
      <c r="C707" s="8">
        <v>2024</v>
      </c>
      <c r="D707" s="8" t="b">
        <f t="shared" si="10"/>
        <v>1</v>
      </c>
      <c r="E707">
        <v>68.28</v>
      </c>
    </row>
    <row r="708" spans="2:5">
      <c r="B708" s="7">
        <v>45562</v>
      </c>
      <c r="C708" s="8">
        <v>2024</v>
      </c>
      <c r="D708" s="8" t="b">
        <f t="shared" ref="D708:D771" si="11">ISNUMBER(E708)</f>
        <v>1</v>
      </c>
      <c r="E708">
        <v>68.72</v>
      </c>
    </row>
    <row r="709" spans="2:5">
      <c r="B709" s="7">
        <v>45565</v>
      </c>
      <c r="C709" s="8">
        <v>2024</v>
      </c>
      <c r="D709" s="8" t="b">
        <f t="shared" si="11"/>
        <v>1</v>
      </c>
      <c r="E709">
        <v>68.75</v>
      </c>
    </row>
    <row r="710" spans="2:5">
      <c r="B710" s="7">
        <v>45566</v>
      </c>
      <c r="C710" s="8">
        <v>2024</v>
      </c>
      <c r="D710" s="8" t="b">
        <f t="shared" si="11"/>
        <v>1</v>
      </c>
      <c r="E710">
        <v>70.41</v>
      </c>
    </row>
    <row r="711" spans="2:5">
      <c r="B711" s="7">
        <v>45567</v>
      </c>
      <c r="C711" s="8">
        <v>2024</v>
      </c>
      <c r="D711" s="8" t="b">
        <f t="shared" si="11"/>
        <v>1</v>
      </c>
      <c r="E711">
        <v>70.739999999999995</v>
      </c>
    </row>
    <row r="712" spans="2:5">
      <c r="B712" s="7">
        <v>45568</v>
      </c>
      <c r="C712" s="8">
        <v>2024</v>
      </c>
      <c r="D712" s="8" t="b">
        <f t="shared" si="11"/>
        <v>1</v>
      </c>
      <c r="E712">
        <v>74.33</v>
      </c>
    </row>
    <row r="713" spans="2:5">
      <c r="B713" s="7">
        <v>45569</v>
      </c>
      <c r="C713" s="8">
        <v>2024</v>
      </c>
      <c r="D713" s="8" t="b">
        <f t="shared" si="11"/>
        <v>1</v>
      </c>
      <c r="E713">
        <v>74.930000000000007</v>
      </c>
    </row>
    <row r="714" spans="2:5">
      <c r="B714" s="7">
        <v>45572</v>
      </c>
      <c r="C714" s="8">
        <v>2024</v>
      </c>
      <c r="D714" s="8" t="b">
        <f t="shared" si="11"/>
        <v>1</v>
      </c>
      <c r="E714">
        <v>77.760000000000005</v>
      </c>
    </row>
    <row r="715" spans="2:5">
      <c r="B715" s="7">
        <v>45573</v>
      </c>
      <c r="C715" s="8">
        <v>2024</v>
      </c>
      <c r="D715" s="8" t="b">
        <f t="shared" si="11"/>
        <v>1</v>
      </c>
      <c r="E715">
        <v>74.260000000000005</v>
      </c>
    </row>
    <row r="716" spans="2:5">
      <c r="B716" s="7">
        <v>45574</v>
      </c>
      <c r="C716" s="8">
        <v>2024</v>
      </c>
      <c r="D716" s="8" t="b">
        <f t="shared" si="11"/>
        <v>1</v>
      </c>
      <c r="E716">
        <v>73.849999999999994</v>
      </c>
    </row>
    <row r="717" spans="2:5">
      <c r="B717" s="7">
        <v>45575</v>
      </c>
      <c r="C717" s="8">
        <v>2024</v>
      </c>
      <c r="D717" s="8" t="b">
        <f t="shared" si="11"/>
        <v>1</v>
      </c>
      <c r="E717">
        <v>76.459999999999994</v>
      </c>
    </row>
    <row r="718" spans="2:5">
      <c r="B718" s="7">
        <v>45576</v>
      </c>
      <c r="C718" s="8">
        <v>2024</v>
      </c>
      <c r="D718" s="8" t="b">
        <f t="shared" si="11"/>
        <v>1</v>
      </c>
      <c r="E718">
        <v>76.11</v>
      </c>
    </row>
    <row r="719" spans="2:5">
      <c r="B719" s="7">
        <v>45579</v>
      </c>
      <c r="C719" s="8">
        <v>2024</v>
      </c>
      <c r="D719" s="8" t="b">
        <f t="shared" si="11"/>
        <v>0</v>
      </c>
    </row>
    <row r="720" spans="2:5">
      <c r="B720" s="7">
        <v>45580</v>
      </c>
      <c r="C720" s="8">
        <v>2024</v>
      </c>
      <c r="D720" s="8" t="b">
        <f t="shared" si="11"/>
        <v>1</v>
      </c>
      <c r="E720">
        <v>71.22</v>
      </c>
    </row>
    <row r="721" spans="2:5">
      <c r="B721" s="7">
        <v>45581</v>
      </c>
      <c r="C721" s="8">
        <v>2024</v>
      </c>
      <c r="D721" s="8" t="b">
        <f t="shared" si="11"/>
        <v>1</v>
      </c>
      <c r="E721">
        <v>70.97</v>
      </c>
    </row>
    <row r="722" spans="2:5">
      <c r="B722" s="7">
        <v>45582</v>
      </c>
      <c r="C722" s="8">
        <v>2024</v>
      </c>
      <c r="D722" s="8" t="b">
        <f t="shared" si="11"/>
        <v>1</v>
      </c>
      <c r="E722">
        <v>71.260000000000005</v>
      </c>
    </row>
    <row r="723" spans="2:5">
      <c r="B723" s="7">
        <v>45583</v>
      </c>
      <c r="C723" s="8">
        <v>2024</v>
      </c>
      <c r="D723" s="8" t="b">
        <f t="shared" si="11"/>
        <v>1</v>
      </c>
      <c r="E723">
        <v>69.78</v>
      </c>
    </row>
    <row r="724" spans="2:5">
      <c r="B724" s="7">
        <v>45586</v>
      </c>
      <c r="C724" s="8">
        <v>2024</v>
      </c>
      <c r="D724" s="8" t="b">
        <f t="shared" si="11"/>
        <v>1</v>
      </c>
      <c r="E724">
        <v>71.16</v>
      </c>
    </row>
    <row r="725" spans="2:5">
      <c r="B725" s="7">
        <v>45587</v>
      </c>
      <c r="C725" s="8">
        <v>2024</v>
      </c>
      <c r="D725" s="8" t="b">
        <f t="shared" si="11"/>
        <v>1</v>
      </c>
      <c r="E725">
        <v>72.84</v>
      </c>
    </row>
    <row r="726" spans="2:5">
      <c r="B726" s="7">
        <v>45588</v>
      </c>
      <c r="C726" s="8">
        <v>2024</v>
      </c>
      <c r="D726" s="8" t="b">
        <f t="shared" si="11"/>
        <v>1</v>
      </c>
      <c r="E726">
        <v>71.37</v>
      </c>
    </row>
    <row r="727" spans="2:5">
      <c r="B727" s="7">
        <v>45589</v>
      </c>
      <c r="C727" s="8">
        <v>2024</v>
      </c>
      <c r="D727" s="8" t="b">
        <f t="shared" si="11"/>
        <v>1</v>
      </c>
      <c r="E727">
        <v>70.58</v>
      </c>
    </row>
    <row r="728" spans="2:5">
      <c r="B728" s="7">
        <v>45590</v>
      </c>
      <c r="C728" s="8">
        <v>2024</v>
      </c>
      <c r="D728" s="8" t="b">
        <f t="shared" si="11"/>
        <v>1</v>
      </c>
      <c r="E728">
        <v>72.02</v>
      </c>
    </row>
    <row r="729" spans="2:5">
      <c r="B729" s="7">
        <v>45593</v>
      </c>
      <c r="C729" s="8">
        <v>2024</v>
      </c>
      <c r="D729" s="8" t="b">
        <f t="shared" si="11"/>
        <v>1</v>
      </c>
      <c r="E729">
        <v>67.650000000000006</v>
      </c>
    </row>
    <row r="730" spans="2:5">
      <c r="B730" s="7">
        <v>45594</v>
      </c>
      <c r="C730" s="8">
        <v>2024</v>
      </c>
      <c r="D730" s="8" t="b">
        <f t="shared" si="11"/>
        <v>1</v>
      </c>
      <c r="E730">
        <v>67.48</v>
      </c>
    </row>
    <row r="731" spans="2:5">
      <c r="B731" s="7">
        <v>45595</v>
      </c>
      <c r="C731" s="8">
        <v>2024</v>
      </c>
      <c r="D731" s="8" t="b">
        <f t="shared" si="11"/>
        <v>1</v>
      </c>
      <c r="E731">
        <v>68.91</v>
      </c>
    </row>
    <row r="732" spans="2:5">
      <c r="B732" s="7">
        <v>45596</v>
      </c>
      <c r="C732" s="8">
        <v>2024</v>
      </c>
      <c r="D732" s="8" t="b">
        <f t="shared" si="11"/>
        <v>1</v>
      </c>
      <c r="E732">
        <v>69.58</v>
      </c>
    </row>
    <row r="733" spans="2:5">
      <c r="B733" s="7">
        <v>45597</v>
      </c>
      <c r="C733" s="8">
        <v>2024</v>
      </c>
      <c r="D733" s="8" t="b">
        <f t="shared" si="11"/>
        <v>1</v>
      </c>
      <c r="E733">
        <v>69.81</v>
      </c>
    </row>
    <row r="734" spans="2:5">
      <c r="B734" s="7">
        <v>45600</v>
      </c>
      <c r="C734" s="8">
        <v>2024</v>
      </c>
      <c r="D734" s="8" t="b">
        <f t="shared" si="11"/>
        <v>1</v>
      </c>
      <c r="E734">
        <v>71.83</v>
      </c>
    </row>
    <row r="735" spans="2:5">
      <c r="B735" s="7">
        <v>45601</v>
      </c>
      <c r="C735" s="8">
        <v>2024</v>
      </c>
      <c r="D735" s="8" t="b">
        <f t="shared" si="11"/>
        <v>1</v>
      </c>
      <c r="E735">
        <v>72.260000000000005</v>
      </c>
    </row>
    <row r="736" spans="2:5">
      <c r="B736" s="7">
        <v>45602</v>
      </c>
      <c r="C736" s="8">
        <v>2024</v>
      </c>
      <c r="D736" s="8" t="b">
        <f t="shared" si="11"/>
        <v>1</v>
      </c>
      <c r="E736">
        <v>71.98</v>
      </c>
    </row>
    <row r="737" spans="2:5">
      <c r="B737" s="7">
        <v>45603</v>
      </c>
      <c r="C737" s="8">
        <v>2024</v>
      </c>
      <c r="D737" s="8" t="b">
        <f t="shared" si="11"/>
        <v>1</v>
      </c>
      <c r="E737">
        <v>72.69</v>
      </c>
    </row>
    <row r="738" spans="2:5">
      <c r="B738" s="7">
        <v>45604</v>
      </c>
      <c r="C738" s="8">
        <v>2024</v>
      </c>
      <c r="D738" s="8" t="b">
        <f t="shared" si="11"/>
        <v>1</v>
      </c>
      <c r="E738">
        <v>70.69</v>
      </c>
    </row>
    <row r="739" spans="2:5">
      <c r="B739" s="7">
        <v>45607</v>
      </c>
      <c r="C739" s="8">
        <v>2024</v>
      </c>
      <c r="D739" s="8" t="b">
        <f t="shared" si="11"/>
        <v>0</v>
      </c>
    </row>
    <row r="740" spans="2:5">
      <c r="B740" s="7">
        <v>45608</v>
      </c>
      <c r="C740" s="8">
        <v>2024</v>
      </c>
      <c r="D740" s="8" t="b">
        <f t="shared" si="11"/>
        <v>1</v>
      </c>
      <c r="E740">
        <v>68.430000000000007</v>
      </c>
    </row>
    <row r="741" spans="2:5">
      <c r="B741" s="7">
        <v>45609</v>
      </c>
      <c r="C741" s="8">
        <v>2024</v>
      </c>
      <c r="D741" s="8" t="b">
        <f t="shared" si="11"/>
        <v>1</v>
      </c>
      <c r="E741">
        <v>68.760000000000005</v>
      </c>
    </row>
    <row r="742" spans="2:5">
      <c r="B742" s="7">
        <v>45610</v>
      </c>
      <c r="C742" s="8">
        <v>2024</v>
      </c>
      <c r="D742" s="8" t="b">
        <f t="shared" si="11"/>
        <v>1</v>
      </c>
      <c r="E742">
        <v>68.989999999999995</v>
      </c>
    </row>
    <row r="743" spans="2:5">
      <c r="B743" s="7">
        <v>45611</v>
      </c>
      <c r="C743" s="8">
        <v>2024</v>
      </c>
      <c r="D743" s="8" t="b">
        <f t="shared" si="11"/>
        <v>1</v>
      </c>
      <c r="E743">
        <v>67.33</v>
      </c>
    </row>
    <row r="744" spans="2:5">
      <c r="B744" s="7">
        <v>45614</v>
      </c>
      <c r="C744" s="8">
        <v>2024</v>
      </c>
      <c r="D744" s="8" t="b">
        <f t="shared" si="11"/>
        <v>1</v>
      </c>
      <c r="E744">
        <v>69.459999999999994</v>
      </c>
    </row>
    <row r="745" spans="2:5">
      <c r="B745" s="7">
        <v>45615</v>
      </c>
      <c r="C745" s="8">
        <v>2024</v>
      </c>
      <c r="D745" s="8" t="b">
        <f t="shared" si="11"/>
        <v>1</v>
      </c>
      <c r="E745">
        <v>69.75</v>
      </c>
    </row>
    <row r="746" spans="2:5">
      <c r="B746" s="7">
        <v>45616</v>
      </c>
      <c r="C746" s="8">
        <v>2024</v>
      </c>
      <c r="D746" s="8" t="b">
        <f t="shared" si="11"/>
        <v>1</v>
      </c>
      <c r="E746">
        <v>69.25</v>
      </c>
    </row>
    <row r="747" spans="2:5">
      <c r="B747" s="7">
        <v>45617</v>
      </c>
      <c r="C747" s="8">
        <v>2024</v>
      </c>
      <c r="D747" s="8" t="b">
        <f t="shared" si="11"/>
        <v>1</v>
      </c>
      <c r="E747">
        <v>70.39</v>
      </c>
    </row>
    <row r="748" spans="2:5">
      <c r="B748" s="7">
        <v>45618</v>
      </c>
      <c r="C748" s="8">
        <v>2024</v>
      </c>
      <c r="D748" s="8" t="b">
        <f t="shared" si="11"/>
        <v>1</v>
      </c>
      <c r="E748">
        <v>71.680000000000007</v>
      </c>
    </row>
    <row r="749" spans="2:5">
      <c r="B749" s="7">
        <v>45621</v>
      </c>
      <c r="C749" s="8">
        <v>2024</v>
      </c>
      <c r="D749" s="8" t="b">
        <f t="shared" si="11"/>
        <v>1</v>
      </c>
      <c r="E749">
        <v>69.41</v>
      </c>
    </row>
    <row r="750" spans="2:5">
      <c r="B750" s="7">
        <v>45622</v>
      </c>
      <c r="C750" s="8">
        <v>2024</v>
      </c>
      <c r="D750" s="8" t="b">
        <f t="shared" si="11"/>
        <v>1</v>
      </c>
      <c r="E750">
        <v>69.05</v>
      </c>
    </row>
    <row r="751" spans="2:5">
      <c r="B751" s="7">
        <v>45623</v>
      </c>
      <c r="C751" s="8">
        <v>2024</v>
      </c>
      <c r="D751" s="8" t="b">
        <f t="shared" si="11"/>
        <v>1</v>
      </c>
      <c r="E751">
        <v>69.03</v>
      </c>
    </row>
    <row r="752" spans="2:5">
      <c r="B752" s="7">
        <v>45624</v>
      </c>
      <c r="C752" s="8">
        <v>2024</v>
      </c>
      <c r="D752" s="8" t="b">
        <f t="shared" si="11"/>
        <v>0</v>
      </c>
    </row>
    <row r="753" spans="2:5">
      <c r="B753" s="7">
        <v>45625</v>
      </c>
      <c r="C753" s="8">
        <v>2024</v>
      </c>
      <c r="D753" s="8" t="b">
        <f t="shared" si="11"/>
        <v>1</v>
      </c>
      <c r="E753">
        <v>68.260000000000005</v>
      </c>
    </row>
    <row r="754" spans="2:5">
      <c r="B754" s="7">
        <v>45628</v>
      </c>
      <c r="C754" s="8">
        <v>2024</v>
      </c>
      <c r="D754" s="8" t="b">
        <f t="shared" si="11"/>
        <v>1</v>
      </c>
      <c r="E754">
        <v>68.349999999999994</v>
      </c>
    </row>
    <row r="755" spans="2:5">
      <c r="B755" s="7">
        <v>45629</v>
      </c>
      <c r="C755" s="8">
        <v>2024</v>
      </c>
      <c r="D755" s="8" t="b">
        <f t="shared" si="11"/>
        <v>1</v>
      </c>
      <c r="E755">
        <v>70.150000000000006</v>
      </c>
    </row>
    <row r="756" spans="2:5">
      <c r="B756" s="7">
        <v>45630</v>
      </c>
      <c r="C756" s="8">
        <v>2024</v>
      </c>
      <c r="D756" s="8" t="b">
        <f t="shared" si="11"/>
        <v>1</v>
      </c>
      <c r="E756">
        <v>68.81</v>
      </c>
    </row>
    <row r="757" spans="2:5">
      <c r="B757" s="7">
        <v>45631</v>
      </c>
      <c r="C757" s="8">
        <v>2024</v>
      </c>
      <c r="D757" s="8" t="b">
        <f t="shared" si="11"/>
        <v>1</v>
      </c>
      <c r="E757">
        <v>68.58</v>
      </c>
    </row>
    <row r="758" spans="2:5">
      <c r="B758" s="7">
        <v>45632</v>
      </c>
      <c r="C758" s="8">
        <v>2024</v>
      </c>
      <c r="D758" s="8" t="b">
        <f t="shared" si="11"/>
        <v>1</v>
      </c>
      <c r="E758">
        <v>68.58</v>
      </c>
    </row>
    <row r="759" spans="2:5">
      <c r="B759" s="7">
        <v>45635</v>
      </c>
      <c r="C759" s="8">
        <v>2024</v>
      </c>
      <c r="D759" s="8" t="b">
        <f t="shared" si="11"/>
        <v>1</v>
      </c>
      <c r="E759">
        <v>68.650000000000006</v>
      </c>
    </row>
    <row r="760" spans="2:5">
      <c r="B760" s="7">
        <v>45636</v>
      </c>
      <c r="C760" s="8">
        <v>2024</v>
      </c>
      <c r="D760" s="8" t="b">
        <f t="shared" si="11"/>
        <v>1</v>
      </c>
      <c r="E760">
        <v>68.849999999999994</v>
      </c>
    </row>
    <row r="761" spans="2:5">
      <c r="B761" s="7">
        <v>45637</v>
      </c>
      <c r="C761" s="8">
        <v>2024</v>
      </c>
      <c r="D761" s="8" t="b">
        <f t="shared" si="11"/>
        <v>1</v>
      </c>
      <c r="E761">
        <v>70.569999999999993</v>
      </c>
    </row>
    <row r="762" spans="2:5">
      <c r="B762" s="7">
        <v>45638</v>
      </c>
      <c r="C762" s="8">
        <v>2024</v>
      </c>
      <c r="D762" s="8" t="b">
        <f t="shared" si="11"/>
        <v>1</v>
      </c>
      <c r="E762">
        <v>70.25</v>
      </c>
    </row>
    <row r="763" spans="2:5">
      <c r="B763" s="7">
        <v>45639</v>
      </c>
      <c r="C763" s="8">
        <v>2024</v>
      </c>
      <c r="D763" s="8" t="b">
        <f t="shared" si="11"/>
        <v>1</v>
      </c>
      <c r="E763">
        <v>71.540000000000006</v>
      </c>
    </row>
    <row r="764" spans="2:5">
      <c r="B764" s="7">
        <v>45642</v>
      </c>
      <c r="C764" s="8">
        <v>2024</v>
      </c>
      <c r="D764" s="8" t="b">
        <f t="shared" si="11"/>
        <v>1</v>
      </c>
      <c r="E764">
        <v>71.03</v>
      </c>
    </row>
    <row r="765" spans="2:5">
      <c r="B765" s="7">
        <v>45643</v>
      </c>
      <c r="C765" s="8">
        <v>2024</v>
      </c>
      <c r="D765" s="8" t="b">
        <f t="shared" si="11"/>
        <v>1</v>
      </c>
      <c r="E765">
        <v>70.31</v>
      </c>
    </row>
    <row r="766" spans="2:5">
      <c r="B766" s="7">
        <v>45644</v>
      </c>
      <c r="C766" s="8">
        <v>2024</v>
      </c>
      <c r="D766" s="8" t="b">
        <f t="shared" si="11"/>
        <v>1</v>
      </c>
      <c r="E766">
        <v>70.8</v>
      </c>
    </row>
    <row r="767" spans="2:5">
      <c r="B767" s="7">
        <v>45645</v>
      </c>
      <c r="C767" s="8">
        <v>2024</v>
      </c>
      <c r="D767" s="8" t="b">
        <f t="shared" si="11"/>
        <v>1</v>
      </c>
      <c r="E767">
        <v>70.099999999999994</v>
      </c>
    </row>
    <row r="768" spans="2:5">
      <c r="B768" s="7">
        <v>45646</v>
      </c>
      <c r="C768" s="8">
        <v>2024</v>
      </c>
      <c r="D768" s="8" t="b">
        <f t="shared" si="11"/>
        <v>1</v>
      </c>
      <c r="E768">
        <v>69.709999999999994</v>
      </c>
    </row>
    <row r="769" spans="2:5">
      <c r="B769" s="7">
        <v>45649</v>
      </c>
      <c r="C769" s="8">
        <v>2024</v>
      </c>
      <c r="D769" s="8" t="b">
        <f t="shared" si="11"/>
        <v>1</v>
      </c>
      <c r="E769">
        <v>69.5</v>
      </c>
    </row>
    <row r="770" spans="2:5">
      <c r="B770" s="7">
        <v>45650</v>
      </c>
      <c r="C770" s="8">
        <v>2024</v>
      </c>
      <c r="D770" s="8" t="b">
        <f t="shared" si="11"/>
        <v>1</v>
      </c>
      <c r="E770">
        <v>70.87</v>
      </c>
    </row>
    <row r="771" spans="2:5">
      <c r="B771" s="7">
        <v>45652</v>
      </c>
      <c r="C771" s="8">
        <v>2024</v>
      </c>
      <c r="D771" s="8" t="b">
        <f t="shared" si="11"/>
        <v>1</v>
      </c>
      <c r="E771">
        <v>70.38</v>
      </c>
    </row>
    <row r="772" spans="2:5">
      <c r="B772" s="7">
        <v>45653</v>
      </c>
      <c r="C772" s="8">
        <v>2024</v>
      </c>
      <c r="D772" s="8" t="b">
        <f t="shared" ref="D772:D835" si="12">ISNUMBER(E772)</f>
        <v>1</v>
      </c>
      <c r="E772">
        <v>71.28</v>
      </c>
    </row>
    <row r="773" spans="2:5">
      <c r="B773" s="7">
        <v>45656</v>
      </c>
      <c r="C773" s="8">
        <v>2024</v>
      </c>
      <c r="D773" s="8" t="b">
        <f t="shared" si="12"/>
        <v>1</v>
      </c>
      <c r="E773">
        <v>71.73</v>
      </c>
    </row>
    <row r="774" spans="2:5">
      <c r="B774" s="7">
        <v>45657</v>
      </c>
      <c r="C774" s="8">
        <v>2024</v>
      </c>
      <c r="D774" s="8" t="b">
        <f t="shared" si="12"/>
        <v>1</v>
      </c>
      <c r="E774">
        <v>72.44</v>
      </c>
    </row>
    <row r="775" spans="2:5">
      <c r="B775" s="7">
        <v>45659</v>
      </c>
      <c r="C775" s="8">
        <v>2025</v>
      </c>
      <c r="D775" s="8" t="b">
        <f t="shared" si="12"/>
        <v>1</v>
      </c>
      <c r="E775">
        <v>73.790000000000006</v>
      </c>
    </row>
    <row r="776" spans="2:5">
      <c r="B776" s="7">
        <v>45660</v>
      </c>
      <c r="C776" s="8">
        <v>2025</v>
      </c>
      <c r="D776" s="8" t="b">
        <f t="shared" si="12"/>
        <v>1</v>
      </c>
      <c r="E776">
        <v>74.64</v>
      </c>
    </row>
    <row r="777" spans="2:5">
      <c r="B777" s="7">
        <v>45663</v>
      </c>
      <c r="C777" s="8">
        <v>2025</v>
      </c>
      <c r="D777" s="8" t="b">
        <f t="shared" si="12"/>
        <v>1</v>
      </c>
      <c r="E777">
        <v>74.31</v>
      </c>
    </row>
    <row r="778" spans="2:5">
      <c r="B778" s="7">
        <v>45664</v>
      </c>
      <c r="C778" s="8">
        <v>2025</v>
      </c>
      <c r="D778" s="8" t="b">
        <f t="shared" si="12"/>
        <v>1</v>
      </c>
      <c r="E778">
        <v>74.989999999999995</v>
      </c>
    </row>
    <row r="779" spans="2:5">
      <c r="B779" s="7">
        <v>45665</v>
      </c>
      <c r="C779" s="8">
        <v>2025</v>
      </c>
      <c r="D779" s="8" t="b">
        <f t="shared" si="12"/>
        <v>1</v>
      </c>
      <c r="E779">
        <v>73.989999999999995</v>
      </c>
    </row>
    <row r="780" spans="2:5">
      <c r="B780" s="7">
        <v>45666</v>
      </c>
      <c r="C780" s="8">
        <v>2025</v>
      </c>
      <c r="D780" s="8" t="b">
        <f t="shared" si="12"/>
        <v>0</v>
      </c>
    </row>
    <row r="781" spans="2:5">
      <c r="B781" s="7">
        <v>45667</v>
      </c>
      <c r="C781" s="8">
        <v>2025</v>
      </c>
      <c r="D781" s="8" t="b">
        <f t="shared" si="12"/>
        <v>1</v>
      </c>
      <c r="E781">
        <v>77.27</v>
      </c>
    </row>
    <row r="782" spans="2:5">
      <c r="B782" s="7">
        <v>45670</v>
      </c>
      <c r="C782" s="8">
        <v>2025</v>
      </c>
      <c r="D782" s="8" t="b">
        <f t="shared" si="12"/>
        <v>1</v>
      </c>
      <c r="E782">
        <v>79.569999999999993</v>
      </c>
    </row>
    <row r="783" spans="2:5">
      <c r="B783" s="7">
        <v>45671</v>
      </c>
      <c r="C783" s="8">
        <v>2025</v>
      </c>
      <c r="D783" s="8" t="b">
        <f t="shared" si="12"/>
        <v>1</v>
      </c>
      <c r="E783">
        <v>78.2</v>
      </c>
    </row>
    <row r="784" spans="2:5">
      <c r="B784" s="7">
        <v>45672</v>
      </c>
      <c r="C784" s="8">
        <v>2025</v>
      </c>
      <c r="D784" s="8" t="b">
        <f t="shared" si="12"/>
        <v>1</v>
      </c>
      <c r="E784">
        <v>80.73</v>
      </c>
    </row>
    <row r="785" spans="2:5">
      <c r="B785" s="7">
        <v>45673</v>
      </c>
      <c r="C785" s="8">
        <v>2025</v>
      </c>
      <c r="D785" s="8" t="b">
        <f t="shared" si="12"/>
        <v>1</v>
      </c>
      <c r="E785">
        <v>79.349999999999994</v>
      </c>
    </row>
    <row r="786" spans="2:5">
      <c r="B786" s="7">
        <v>45674</v>
      </c>
      <c r="C786" s="8">
        <v>2025</v>
      </c>
      <c r="D786" s="8" t="b">
        <f t="shared" si="12"/>
        <v>1</v>
      </c>
      <c r="E786">
        <v>78.56</v>
      </c>
    </row>
    <row r="787" spans="2:5">
      <c r="B787" s="7">
        <v>45677</v>
      </c>
      <c r="C787" s="8">
        <v>2025</v>
      </c>
      <c r="D787" s="8" t="b">
        <f t="shared" si="12"/>
        <v>0</v>
      </c>
    </row>
    <row r="788" spans="2:5">
      <c r="B788" s="7">
        <v>45678</v>
      </c>
      <c r="C788" s="8">
        <v>2025</v>
      </c>
      <c r="D788" s="8" t="b">
        <f t="shared" si="12"/>
        <v>1</v>
      </c>
      <c r="E788">
        <v>76.790000000000006</v>
      </c>
    </row>
    <row r="789" spans="2:5">
      <c r="B789" s="7">
        <v>45679</v>
      </c>
      <c r="C789" s="8">
        <v>2025</v>
      </c>
      <c r="D789" s="8" t="b">
        <f t="shared" si="12"/>
        <v>1</v>
      </c>
      <c r="E789">
        <v>76.12</v>
      </c>
    </row>
    <row r="790" spans="2:5">
      <c r="B790" s="7">
        <v>45680</v>
      </c>
      <c r="C790" s="8">
        <v>2025</v>
      </c>
      <c r="D790" s="8" t="b">
        <f t="shared" si="12"/>
        <v>1</v>
      </c>
      <c r="E790">
        <v>75.03</v>
      </c>
    </row>
    <row r="791" spans="2:5">
      <c r="B791" s="7">
        <v>45681</v>
      </c>
      <c r="C791" s="8">
        <v>2025</v>
      </c>
      <c r="D791" s="8" t="b">
        <f t="shared" si="12"/>
        <v>1</v>
      </c>
      <c r="E791">
        <v>74.97</v>
      </c>
    </row>
    <row r="792" spans="2:5">
      <c r="B792" s="7">
        <v>45684</v>
      </c>
      <c r="C792" s="8">
        <v>2025</v>
      </c>
      <c r="D792" s="8" t="b">
        <f t="shared" si="12"/>
        <v>1</v>
      </c>
      <c r="E792">
        <v>73.510000000000005</v>
      </c>
    </row>
    <row r="793" spans="2:5">
      <c r="B793" s="7">
        <v>45685</v>
      </c>
      <c r="C793" s="8">
        <v>2025</v>
      </c>
      <c r="D793" s="8" t="b">
        <f t="shared" si="12"/>
        <v>1</v>
      </c>
      <c r="E793">
        <v>74.150000000000006</v>
      </c>
    </row>
    <row r="794" spans="2:5">
      <c r="B794" s="7">
        <v>45686</v>
      </c>
      <c r="C794" s="8">
        <v>2025</v>
      </c>
      <c r="D794" s="8" t="b">
        <f t="shared" si="12"/>
        <v>1</v>
      </c>
      <c r="E794">
        <v>72.94</v>
      </c>
    </row>
    <row r="795" spans="2:5">
      <c r="B795" s="7">
        <v>45687</v>
      </c>
      <c r="C795" s="8">
        <v>2025</v>
      </c>
      <c r="D795" s="8" t="b">
        <f t="shared" si="12"/>
        <v>1</v>
      </c>
      <c r="E795">
        <v>73.099999999999994</v>
      </c>
    </row>
    <row r="796" spans="2:5">
      <c r="B796" s="7">
        <v>45688</v>
      </c>
      <c r="C796" s="8">
        <v>2025</v>
      </c>
      <c r="D796" s="8" t="b">
        <f t="shared" si="12"/>
        <v>1</v>
      </c>
      <c r="E796">
        <v>72.84</v>
      </c>
    </row>
    <row r="797" spans="2:5">
      <c r="B797" s="7">
        <v>45691</v>
      </c>
      <c r="C797" s="8">
        <v>2025</v>
      </c>
      <c r="D797" s="8" t="b">
        <f t="shared" si="12"/>
        <v>1</v>
      </c>
      <c r="E797">
        <v>73.52</v>
      </c>
    </row>
    <row r="798" spans="2:5">
      <c r="B798" s="7">
        <v>45692</v>
      </c>
      <c r="C798" s="8">
        <v>2025</v>
      </c>
      <c r="D798" s="8" t="b">
        <f t="shared" si="12"/>
        <v>1</v>
      </c>
      <c r="E798">
        <v>73.040000000000006</v>
      </c>
    </row>
    <row r="799" spans="2:5">
      <c r="B799" s="7">
        <v>45693</v>
      </c>
      <c r="C799" s="8">
        <v>2025</v>
      </c>
      <c r="D799" s="8" t="b">
        <f t="shared" si="12"/>
        <v>1</v>
      </c>
      <c r="E799">
        <v>71.39</v>
      </c>
    </row>
    <row r="800" spans="2:5">
      <c r="B800" s="7">
        <v>45694</v>
      </c>
      <c r="C800" s="8">
        <v>2025</v>
      </c>
      <c r="D800" s="8" t="b">
        <f t="shared" si="12"/>
        <v>1</v>
      </c>
      <c r="E800">
        <v>70.97</v>
      </c>
    </row>
    <row r="801" spans="2:5">
      <c r="B801" s="7">
        <v>45695</v>
      </c>
      <c r="C801" s="8">
        <v>2025</v>
      </c>
      <c r="D801" s="8" t="b">
        <f t="shared" si="12"/>
        <v>1</v>
      </c>
      <c r="E801">
        <v>71.319999999999993</v>
      </c>
    </row>
    <row r="802" spans="2:5">
      <c r="B802" s="7">
        <v>45698</v>
      </c>
      <c r="C802" s="8">
        <v>2025</v>
      </c>
      <c r="D802" s="8" t="b">
        <f t="shared" si="12"/>
        <v>1</v>
      </c>
      <c r="E802">
        <v>72.73</v>
      </c>
    </row>
    <row r="803" spans="2:5">
      <c r="B803" s="7">
        <v>45699</v>
      </c>
      <c r="C803" s="8">
        <v>2025</v>
      </c>
      <c r="D803" s="8" t="b">
        <f t="shared" si="12"/>
        <v>1</v>
      </c>
      <c r="E803">
        <v>73.67</v>
      </c>
    </row>
    <row r="804" spans="2:5">
      <c r="B804" s="7">
        <v>45700</v>
      </c>
      <c r="C804" s="8">
        <v>2025</v>
      </c>
      <c r="D804" s="8" t="b">
        <f t="shared" si="12"/>
        <v>1</v>
      </c>
      <c r="E804">
        <v>71.72</v>
      </c>
    </row>
    <row r="805" spans="2:5">
      <c r="B805" s="7">
        <v>45701</v>
      </c>
      <c r="C805" s="8">
        <v>2025</v>
      </c>
      <c r="D805" s="8" t="b">
        <f t="shared" si="12"/>
        <v>1</v>
      </c>
      <c r="E805">
        <v>71.66</v>
      </c>
    </row>
    <row r="806" spans="2:5">
      <c r="B806" s="7">
        <v>45702</v>
      </c>
      <c r="C806" s="8">
        <v>2025</v>
      </c>
      <c r="D806" s="8" t="b">
        <f t="shared" si="12"/>
        <v>1</v>
      </c>
      <c r="E806">
        <v>71.05</v>
      </c>
    </row>
    <row r="807" spans="2:5">
      <c r="B807" s="7">
        <v>45705</v>
      </c>
      <c r="C807" s="8">
        <v>2025</v>
      </c>
      <c r="D807" s="8" t="b">
        <f t="shared" si="12"/>
        <v>0</v>
      </c>
    </row>
    <row r="808" spans="2:5">
      <c r="B808" s="7">
        <v>45706</v>
      </c>
      <c r="C808" s="8">
        <v>2025</v>
      </c>
      <c r="D808" s="8" t="b">
        <f t="shared" si="12"/>
        <v>1</v>
      </c>
      <c r="E808">
        <v>72.209999999999994</v>
      </c>
    </row>
    <row r="809" spans="2:5">
      <c r="B809" s="7">
        <v>45707</v>
      </c>
      <c r="C809" s="8">
        <v>2025</v>
      </c>
      <c r="D809" s="8" t="b">
        <f t="shared" si="12"/>
        <v>1</v>
      </c>
      <c r="E809">
        <v>72.58</v>
      </c>
    </row>
    <row r="810" spans="2:5">
      <c r="B810" s="7">
        <v>45708</v>
      </c>
      <c r="C810" s="8">
        <v>2025</v>
      </c>
      <c r="D810" s="8" t="b">
        <f t="shared" si="12"/>
        <v>1</v>
      </c>
      <c r="E810">
        <v>72.88</v>
      </c>
    </row>
    <row r="811" spans="2:5">
      <c r="B811" s="7">
        <v>45709</v>
      </c>
      <c r="C811" s="8">
        <v>2025</v>
      </c>
      <c r="D811" s="8" t="b">
        <f t="shared" si="12"/>
        <v>1</v>
      </c>
      <c r="E811">
        <v>70.72</v>
      </c>
    </row>
    <row r="812" spans="2:5">
      <c r="B812" s="7">
        <v>45712</v>
      </c>
      <c r="C812" s="8">
        <v>2025</v>
      </c>
      <c r="D812" s="8" t="b">
        <f t="shared" si="12"/>
        <v>1</v>
      </c>
      <c r="E812">
        <v>71.06</v>
      </c>
    </row>
    <row r="813" spans="2:5">
      <c r="B813" s="7">
        <v>45713</v>
      </c>
      <c r="C813" s="8">
        <v>2025</v>
      </c>
      <c r="D813" s="8" t="b">
        <f t="shared" si="12"/>
        <v>1</v>
      </c>
      <c r="E813">
        <v>69.150000000000006</v>
      </c>
    </row>
    <row r="814" spans="2:5">
      <c r="B814" s="7">
        <v>45714</v>
      </c>
      <c r="C814" s="8">
        <v>2025</v>
      </c>
      <c r="D814" s="8" t="b">
        <f t="shared" si="12"/>
        <v>1</v>
      </c>
      <c r="E814">
        <v>68.87</v>
      </c>
    </row>
    <row r="815" spans="2:5">
      <c r="B815" s="7">
        <v>45715</v>
      </c>
      <c r="C815" s="8">
        <v>2025</v>
      </c>
      <c r="D815" s="8" t="b">
        <f t="shared" si="12"/>
        <v>1</v>
      </c>
      <c r="E815">
        <v>70.62</v>
      </c>
    </row>
    <row r="816" spans="2:5">
      <c r="B816" s="7">
        <v>45716</v>
      </c>
      <c r="C816" s="8">
        <v>2025</v>
      </c>
      <c r="D816" s="8" t="b">
        <f t="shared" si="12"/>
        <v>1</v>
      </c>
      <c r="E816">
        <v>69.97</v>
      </c>
    </row>
    <row r="817" spans="2:5">
      <c r="B817" s="7">
        <v>45719</v>
      </c>
      <c r="C817" s="8">
        <v>2025</v>
      </c>
      <c r="D817" s="8" t="b">
        <f t="shared" si="12"/>
        <v>1</v>
      </c>
      <c r="E817">
        <v>68.63</v>
      </c>
    </row>
    <row r="818" spans="2:5">
      <c r="B818" s="7">
        <v>45720</v>
      </c>
      <c r="C818" s="8">
        <v>2025</v>
      </c>
      <c r="D818" s="8" t="b">
        <f t="shared" si="12"/>
        <v>1</v>
      </c>
      <c r="E818">
        <v>68.47</v>
      </c>
    </row>
    <row r="819" spans="2:5">
      <c r="B819" s="7">
        <v>45721</v>
      </c>
      <c r="C819" s="8">
        <v>2025</v>
      </c>
      <c r="D819" s="8" t="b">
        <f t="shared" si="12"/>
        <v>1</v>
      </c>
      <c r="E819">
        <v>66.58</v>
      </c>
    </row>
    <row r="820" spans="2:5">
      <c r="B820" s="7">
        <v>45722</v>
      </c>
      <c r="C820" s="8">
        <v>2025</v>
      </c>
      <c r="D820" s="8" t="b">
        <f t="shared" si="12"/>
        <v>1</v>
      </c>
      <c r="E820">
        <v>66.62</v>
      </c>
    </row>
    <row r="821" spans="2:5">
      <c r="B821" s="7">
        <v>45723</v>
      </c>
      <c r="C821" s="8">
        <v>2025</v>
      </c>
      <c r="D821" s="8" t="b">
        <f t="shared" si="12"/>
        <v>1</v>
      </c>
      <c r="E821">
        <v>67.290000000000006</v>
      </c>
    </row>
    <row r="822" spans="2:5">
      <c r="B822" s="7">
        <v>45726</v>
      </c>
      <c r="C822" s="8">
        <v>2025</v>
      </c>
      <c r="D822" s="8" t="b">
        <f t="shared" si="12"/>
        <v>1</v>
      </c>
      <c r="E822">
        <v>66.31</v>
      </c>
    </row>
    <row r="823" spans="2:5">
      <c r="B823" s="7">
        <v>45727</v>
      </c>
      <c r="C823" s="8">
        <v>2025</v>
      </c>
      <c r="D823" s="8" t="b">
        <f t="shared" si="12"/>
        <v>1</v>
      </c>
      <c r="E823">
        <v>66.52</v>
      </c>
    </row>
    <row r="824" spans="2:5">
      <c r="B824" s="7">
        <v>45728</v>
      </c>
      <c r="C824" s="8">
        <v>2025</v>
      </c>
      <c r="D824" s="8" t="b">
        <f t="shared" si="12"/>
        <v>1</v>
      </c>
      <c r="E824">
        <v>67.650000000000006</v>
      </c>
    </row>
    <row r="825" spans="2:5">
      <c r="B825" s="7">
        <v>45729</v>
      </c>
      <c r="C825" s="8">
        <v>2025</v>
      </c>
      <c r="D825" s="8" t="b">
        <f t="shared" si="12"/>
        <v>1</v>
      </c>
      <c r="E825">
        <v>66.819999999999993</v>
      </c>
    </row>
    <row r="826" spans="2:5">
      <c r="B826" s="7">
        <v>45730</v>
      </c>
      <c r="C826" s="8">
        <v>2025</v>
      </c>
      <c r="D826" s="8" t="b">
        <f t="shared" si="12"/>
        <v>1</v>
      </c>
      <c r="E826">
        <v>67.430000000000007</v>
      </c>
    </row>
    <row r="827" spans="2:5">
      <c r="B827" s="7">
        <v>45733</v>
      </c>
      <c r="C827" s="8">
        <v>2025</v>
      </c>
      <c r="D827" s="8" t="b">
        <f t="shared" si="12"/>
        <v>1</v>
      </c>
      <c r="E827">
        <v>67.84</v>
      </c>
    </row>
    <row r="828" spans="2:5">
      <c r="B828" s="7">
        <v>45734</v>
      </c>
      <c r="C828" s="8">
        <v>2025</v>
      </c>
      <c r="D828" s="8" t="b">
        <f t="shared" si="12"/>
        <v>1</v>
      </c>
      <c r="E828">
        <v>67.489999999999995</v>
      </c>
    </row>
    <row r="829" spans="2:5">
      <c r="B829" s="7">
        <v>45735</v>
      </c>
      <c r="C829" s="8">
        <v>2025</v>
      </c>
      <c r="D829" s="8" t="b">
        <f t="shared" si="12"/>
        <v>1</v>
      </c>
      <c r="E829">
        <v>67.400000000000006</v>
      </c>
    </row>
    <row r="830" spans="2:5">
      <c r="B830" s="7">
        <v>45736</v>
      </c>
      <c r="C830" s="8">
        <v>2025</v>
      </c>
      <c r="D830" s="8" t="b">
        <f t="shared" si="12"/>
        <v>1</v>
      </c>
      <c r="E830">
        <v>68.55</v>
      </c>
    </row>
    <row r="831" spans="2:5">
      <c r="B831" s="7">
        <v>45737</v>
      </c>
      <c r="C831" s="8">
        <v>2025</v>
      </c>
      <c r="D831" s="8" t="b">
        <f t="shared" si="12"/>
        <v>1</v>
      </c>
      <c r="E831">
        <v>68.52</v>
      </c>
    </row>
    <row r="832" spans="2:5">
      <c r="B832" s="7">
        <v>45740</v>
      </c>
      <c r="C832" s="8">
        <v>2025</v>
      </c>
      <c r="D832" s="8" t="b">
        <f t="shared" si="12"/>
        <v>1</v>
      </c>
      <c r="E832">
        <v>69.459999999999994</v>
      </c>
    </row>
    <row r="833" spans="2:5">
      <c r="B833" s="7">
        <v>45741</v>
      </c>
      <c r="C833" s="8">
        <v>2025</v>
      </c>
      <c r="D833" s="8" t="b">
        <f t="shared" si="12"/>
        <v>1</v>
      </c>
      <c r="E833">
        <v>69.48</v>
      </c>
    </row>
    <row r="834" spans="2:5">
      <c r="B834" s="7">
        <v>45742</v>
      </c>
      <c r="C834" s="8">
        <v>2025</v>
      </c>
      <c r="D834" s="8" t="b">
        <f t="shared" si="12"/>
        <v>1</v>
      </c>
      <c r="E834">
        <v>70.05</v>
      </c>
    </row>
    <row r="835" spans="2:5">
      <c r="B835" s="7">
        <v>45743</v>
      </c>
      <c r="C835" s="8">
        <v>2025</v>
      </c>
      <c r="D835" s="8" t="b">
        <f t="shared" si="12"/>
        <v>1</v>
      </c>
      <c r="E835">
        <v>70.3</v>
      </c>
    </row>
    <row r="836" spans="2:5">
      <c r="B836" s="7">
        <v>45744</v>
      </c>
      <c r="C836" s="8">
        <v>2025</v>
      </c>
      <c r="D836" s="8" t="b">
        <f t="shared" ref="D836:D899" si="13">ISNUMBER(E836)</f>
        <v>1</v>
      </c>
      <c r="E836">
        <v>69.739999999999995</v>
      </c>
    </row>
    <row r="837" spans="2:5">
      <c r="B837" s="7">
        <v>45747</v>
      </c>
      <c r="C837" s="8">
        <v>2025</v>
      </c>
      <c r="D837" s="8" t="b">
        <f t="shared" si="13"/>
        <v>1</v>
      </c>
      <c r="E837">
        <v>71.87</v>
      </c>
    </row>
    <row r="838" spans="2:5">
      <c r="B838" s="7">
        <v>45748</v>
      </c>
      <c r="C838" s="8">
        <v>2025</v>
      </c>
      <c r="D838" s="8" t="b">
        <f t="shared" si="13"/>
        <v>1</v>
      </c>
      <c r="E838">
        <v>71.61</v>
      </c>
    </row>
    <row r="839" spans="2:5">
      <c r="B839" s="7">
        <v>45749</v>
      </c>
      <c r="C839" s="8">
        <v>2025</v>
      </c>
      <c r="D839" s="8" t="b">
        <f t="shared" si="13"/>
        <v>1</v>
      </c>
      <c r="E839">
        <v>72.12</v>
      </c>
    </row>
    <row r="840" spans="2:5">
      <c r="B840" s="7">
        <v>45750</v>
      </c>
      <c r="C840" s="8">
        <v>2025</v>
      </c>
      <c r="D840" s="8" t="b">
        <f t="shared" si="13"/>
        <v>1</v>
      </c>
      <c r="E840">
        <v>67.430000000000007</v>
      </c>
    </row>
    <row r="841" spans="2:5">
      <c r="B841" s="7">
        <v>45751</v>
      </c>
      <c r="C841" s="8">
        <v>2025</v>
      </c>
      <c r="D841" s="8" t="b">
        <f t="shared" si="13"/>
        <v>1</v>
      </c>
      <c r="E841">
        <v>62.42</v>
      </c>
    </row>
    <row r="842" spans="2:5">
      <c r="B842" s="7">
        <v>45754</v>
      </c>
      <c r="C842" s="8">
        <v>2025</v>
      </c>
      <c r="D842" s="8" t="b">
        <f t="shared" si="13"/>
        <v>1</v>
      </c>
      <c r="E842">
        <v>61.05</v>
      </c>
    </row>
    <row r="843" spans="2:5">
      <c r="B843" s="7">
        <v>45755</v>
      </c>
      <c r="C843" s="8">
        <v>2025</v>
      </c>
      <c r="D843" s="8" t="b">
        <f t="shared" si="13"/>
        <v>1</v>
      </c>
      <c r="E843">
        <v>60.04</v>
      </c>
    </row>
    <row r="844" spans="2:5">
      <c r="B844" s="7">
        <v>45756</v>
      </c>
      <c r="C844" s="8">
        <v>2025</v>
      </c>
      <c r="D844" s="8" t="b">
        <f t="shared" si="13"/>
        <v>1</v>
      </c>
      <c r="E844">
        <v>62.63</v>
      </c>
    </row>
    <row r="845" spans="2:5">
      <c r="B845" s="7">
        <v>45757</v>
      </c>
      <c r="C845" s="8">
        <v>2025</v>
      </c>
      <c r="D845" s="8" t="b">
        <f t="shared" si="13"/>
        <v>1</v>
      </c>
      <c r="E845">
        <v>60.57</v>
      </c>
    </row>
    <row r="846" spans="2:5">
      <c r="B846" s="7">
        <v>45758</v>
      </c>
      <c r="C846" s="8">
        <v>2025</v>
      </c>
      <c r="D846" s="8" t="b">
        <f t="shared" si="13"/>
        <v>1</v>
      </c>
      <c r="E846">
        <v>61.91</v>
      </c>
    </row>
    <row r="847" spans="2:5">
      <c r="B847" s="7">
        <v>45761</v>
      </c>
      <c r="C847" s="8">
        <v>2025</v>
      </c>
      <c r="D847" s="8" t="b">
        <f t="shared" si="13"/>
        <v>1</v>
      </c>
      <c r="E847">
        <v>61.99</v>
      </c>
    </row>
    <row r="848" spans="2:5">
      <c r="B848" s="7">
        <v>45762</v>
      </c>
      <c r="C848" s="8">
        <v>2025</v>
      </c>
      <c r="D848" s="8" t="b">
        <f t="shared" si="13"/>
        <v>1</v>
      </c>
      <c r="E848">
        <v>61.74</v>
      </c>
    </row>
    <row r="849" spans="2:5">
      <c r="B849" s="7">
        <v>45763</v>
      </c>
      <c r="C849" s="8">
        <v>2025</v>
      </c>
      <c r="D849" s="8" t="b">
        <f t="shared" si="13"/>
        <v>1</v>
      </c>
      <c r="E849">
        <v>62.88</v>
      </c>
    </row>
    <row r="850" spans="2:5">
      <c r="B850" s="7">
        <v>45764</v>
      </c>
      <c r="C850" s="8">
        <v>2025</v>
      </c>
      <c r="D850" s="8" t="b">
        <f t="shared" si="13"/>
        <v>1</v>
      </c>
      <c r="E850">
        <v>65.069999999999993</v>
      </c>
    </row>
    <row r="851" spans="2:5">
      <c r="B851" s="7">
        <v>45768</v>
      </c>
      <c r="C851" s="8">
        <v>2025</v>
      </c>
      <c r="D851" s="8" t="b">
        <f t="shared" si="13"/>
        <v>1</v>
      </c>
      <c r="E851">
        <v>63.48</v>
      </c>
    </row>
    <row r="852" spans="2:5">
      <c r="B852" s="7">
        <v>45769</v>
      </c>
      <c r="C852" s="8">
        <v>2025</v>
      </c>
      <c r="D852" s="8" t="b">
        <f t="shared" si="13"/>
        <v>1</v>
      </c>
      <c r="E852">
        <v>64.599999999999994</v>
      </c>
    </row>
    <row r="853" spans="2:5">
      <c r="B853" s="7">
        <v>45770</v>
      </c>
      <c r="C853" s="8">
        <v>2025</v>
      </c>
      <c r="D853" s="8" t="b">
        <f t="shared" si="13"/>
        <v>1</v>
      </c>
      <c r="E853">
        <v>62.64</v>
      </c>
    </row>
    <row r="854" spans="2:5">
      <c r="B854" s="7">
        <v>45771</v>
      </c>
      <c r="C854" s="8">
        <v>2025</v>
      </c>
      <c r="D854" s="8" t="b">
        <f t="shared" si="13"/>
        <v>1</v>
      </c>
      <c r="E854">
        <v>63.55</v>
      </c>
    </row>
    <row r="855" spans="2:5">
      <c r="B855" s="7">
        <v>45772</v>
      </c>
      <c r="C855" s="8">
        <v>2025</v>
      </c>
      <c r="D855" s="8" t="b">
        <f t="shared" si="13"/>
        <v>1</v>
      </c>
      <c r="E855">
        <v>63.85</v>
      </c>
    </row>
    <row r="856" spans="2:5">
      <c r="B856" s="7">
        <v>45775</v>
      </c>
      <c r="C856" s="8">
        <v>2025</v>
      </c>
      <c r="D856" s="8" t="b">
        <f t="shared" si="13"/>
        <v>1</v>
      </c>
      <c r="E856">
        <v>63.3</v>
      </c>
    </row>
    <row r="857" spans="2:5">
      <c r="B857" s="7">
        <v>45776</v>
      </c>
      <c r="C857" s="8">
        <v>2025</v>
      </c>
      <c r="D857" s="8" t="b">
        <f t="shared" si="13"/>
        <v>1</v>
      </c>
      <c r="E857">
        <v>61.84</v>
      </c>
    </row>
    <row r="858" spans="2:5">
      <c r="B858" s="7">
        <v>45777</v>
      </c>
      <c r="C858" s="8">
        <v>2025</v>
      </c>
      <c r="D858" s="8" t="b">
        <f t="shared" si="13"/>
        <v>1</v>
      </c>
      <c r="E858">
        <v>59.55</v>
      </c>
    </row>
    <row r="859" spans="2:5">
      <c r="B859" s="7">
        <v>45778</v>
      </c>
      <c r="C859" s="8">
        <v>2025</v>
      </c>
      <c r="D859" s="8" t="b">
        <f t="shared" si="13"/>
        <v>1</v>
      </c>
      <c r="E859">
        <v>60.59</v>
      </c>
    </row>
    <row r="860" spans="2:5">
      <c r="B860" s="7">
        <v>45779</v>
      </c>
      <c r="C860" s="8">
        <v>2025</v>
      </c>
      <c r="D860" s="8" t="b">
        <f t="shared" si="13"/>
        <v>1</v>
      </c>
      <c r="E860">
        <v>59.67</v>
      </c>
    </row>
    <row r="861" spans="2:5">
      <c r="B861" s="7">
        <v>45782</v>
      </c>
      <c r="C861" s="8">
        <v>2025</v>
      </c>
      <c r="D861" s="8" t="b">
        <f t="shared" si="13"/>
        <v>1</v>
      </c>
      <c r="E861">
        <v>58.5</v>
      </c>
    </row>
    <row r="862" spans="2:5">
      <c r="B862" s="7">
        <v>45783</v>
      </c>
      <c r="C862" s="8">
        <v>2025</v>
      </c>
      <c r="D862" s="8" t="b">
        <f t="shared" si="13"/>
        <v>1</v>
      </c>
      <c r="E862">
        <v>60.42</v>
      </c>
    </row>
    <row r="863" spans="2:5">
      <c r="B863" s="7">
        <v>45784</v>
      </c>
      <c r="C863" s="8">
        <v>2025</v>
      </c>
      <c r="D863" s="8" t="b">
        <f t="shared" si="13"/>
        <v>1</v>
      </c>
      <c r="E863">
        <v>59.42</v>
      </c>
    </row>
    <row r="864" spans="2:5">
      <c r="B864" s="7">
        <v>45785</v>
      </c>
      <c r="C864" s="8">
        <v>2025</v>
      </c>
      <c r="D864" s="8" t="b">
        <f t="shared" si="13"/>
        <v>1</v>
      </c>
      <c r="E864">
        <v>61.25</v>
      </c>
    </row>
    <row r="865" spans="2:5">
      <c r="B865" s="7">
        <v>45786</v>
      </c>
      <c r="C865" s="8">
        <v>2025</v>
      </c>
      <c r="D865" s="8" t="b">
        <f t="shared" si="13"/>
        <v>1</v>
      </c>
      <c r="E865">
        <v>62.37</v>
      </c>
    </row>
    <row r="866" spans="2:5">
      <c r="B866" s="7">
        <v>45789</v>
      </c>
      <c r="C866" s="8">
        <v>2025</v>
      </c>
      <c r="D866" s="8" t="b">
        <f t="shared" si="13"/>
        <v>1</v>
      </c>
      <c r="E866">
        <v>63.32</v>
      </c>
    </row>
    <row r="867" spans="2:5">
      <c r="B867" s="7">
        <v>45790</v>
      </c>
      <c r="C867" s="8">
        <v>2025</v>
      </c>
      <c r="D867" s="8" t="b">
        <f t="shared" si="13"/>
        <v>1</v>
      </c>
      <c r="E867">
        <v>65.040000000000006</v>
      </c>
    </row>
    <row r="868" spans="2:5">
      <c r="B868" s="7">
        <v>45791</v>
      </c>
      <c r="C868" s="8">
        <v>2025</v>
      </c>
      <c r="D868" s="8" t="b">
        <f t="shared" si="13"/>
        <v>1</v>
      </c>
      <c r="E868">
        <v>64.48</v>
      </c>
    </row>
    <row r="869" spans="2:5">
      <c r="B869" s="7">
        <v>45792</v>
      </c>
      <c r="C869" s="8">
        <v>2025</v>
      </c>
      <c r="D869" s="8" t="b">
        <f t="shared" si="13"/>
        <v>1</v>
      </c>
      <c r="E869">
        <v>63.03</v>
      </c>
    </row>
    <row r="870" spans="2:5">
      <c r="B870" s="7">
        <v>45793</v>
      </c>
      <c r="C870" s="8">
        <v>2025</v>
      </c>
      <c r="D870" s="8" t="b">
        <f t="shared" si="13"/>
        <v>1</v>
      </c>
      <c r="E870">
        <v>63.84</v>
      </c>
    </row>
    <row r="871" spans="2:5">
      <c r="B871" s="7">
        <v>45796</v>
      </c>
      <c r="C871" s="8">
        <v>2025</v>
      </c>
      <c r="D871" s="8" t="b">
        <f t="shared" si="13"/>
        <v>1</v>
      </c>
      <c r="E871">
        <v>63.98</v>
      </c>
    </row>
    <row r="872" spans="2:5">
      <c r="B872" s="7">
        <v>45797</v>
      </c>
      <c r="C872" s="8">
        <v>2025</v>
      </c>
      <c r="D872" s="8" t="b">
        <f t="shared" si="13"/>
        <v>1</v>
      </c>
      <c r="E872">
        <v>63.97</v>
      </c>
    </row>
    <row r="873" spans="2:5">
      <c r="B873" s="7">
        <v>45798</v>
      </c>
      <c r="C873" s="8">
        <v>2025</v>
      </c>
      <c r="D873" s="8" t="b">
        <f t="shared" si="13"/>
        <v>1</v>
      </c>
      <c r="E873">
        <v>62.93</v>
      </c>
    </row>
    <row r="874" spans="2:5">
      <c r="B874" s="7">
        <v>45799</v>
      </c>
      <c r="C874" s="8">
        <v>2025</v>
      </c>
      <c r="D874" s="8" t="b">
        <f t="shared" si="13"/>
        <v>1</v>
      </c>
      <c r="E874">
        <v>62.55</v>
      </c>
    </row>
    <row r="875" spans="2:5">
      <c r="B875" s="7">
        <v>45800</v>
      </c>
      <c r="C875" s="8">
        <v>2025</v>
      </c>
      <c r="D875" s="8" t="b">
        <f t="shared" si="13"/>
        <v>1</v>
      </c>
      <c r="E875">
        <v>62.89</v>
      </c>
    </row>
    <row r="876" spans="2:5">
      <c r="B876" s="7">
        <v>45804</v>
      </c>
      <c r="C876" s="8">
        <v>2025</v>
      </c>
      <c r="D876" s="8" t="b">
        <f t="shared" si="13"/>
        <v>1</v>
      </c>
      <c r="E876">
        <v>61.61</v>
      </c>
    </row>
    <row r="877" spans="2:5">
      <c r="B877" s="7">
        <v>45805</v>
      </c>
      <c r="C877" s="8">
        <v>2025</v>
      </c>
      <c r="D877" s="8" t="b">
        <f t="shared" si="13"/>
        <v>1</v>
      </c>
      <c r="E877">
        <v>62.54</v>
      </c>
    </row>
    <row r="878" spans="2:5">
      <c r="B878" s="7">
        <v>45806</v>
      </c>
      <c r="C878" s="8">
        <v>2025</v>
      </c>
      <c r="D878" s="8" t="b">
        <f t="shared" si="13"/>
        <v>1</v>
      </c>
      <c r="E878">
        <v>61.66</v>
      </c>
    </row>
    <row r="879" spans="2:5">
      <c r="B879" s="7">
        <v>45807</v>
      </c>
      <c r="C879" s="8">
        <v>2025</v>
      </c>
      <c r="D879" s="8" t="b">
        <f t="shared" si="13"/>
        <v>1</v>
      </c>
      <c r="E879">
        <v>61.46</v>
      </c>
    </row>
    <row r="880" spans="2:5">
      <c r="B880" s="7">
        <v>45810</v>
      </c>
      <c r="C880" s="8">
        <v>2025</v>
      </c>
      <c r="D880" s="8" t="b">
        <f t="shared" si="13"/>
        <v>1</v>
      </c>
      <c r="E880">
        <v>63.27</v>
      </c>
    </row>
    <row r="881" spans="2:5">
      <c r="B881" s="7">
        <v>45811</v>
      </c>
      <c r="C881" s="8">
        <v>2025</v>
      </c>
      <c r="D881" s="8" t="b">
        <f t="shared" si="13"/>
        <v>1</v>
      </c>
      <c r="E881">
        <v>64.099999999999994</v>
      </c>
    </row>
    <row r="882" spans="2:5">
      <c r="B882" s="7">
        <v>45812</v>
      </c>
      <c r="C882" s="8">
        <v>2025</v>
      </c>
      <c r="D882" s="8" t="b">
        <f t="shared" si="13"/>
        <v>1</v>
      </c>
      <c r="E882">
        <v>63.57</v>
      </c>
    </row>
    <row r="883" spans="2:5">
      <c r="B883" s="7">
        <v>45813</v>
      </c>
      <c r="C883" s="8">
        <v>2025</v>
      </c>
      <c r="D883" s="8" t="b">
        <f t="shared" si="13"/>
        <v>1</v>
      </c>
      <c r="E883">
        <v>64.06</v>
      </c>
    </row>
    <row r="884" spans="2:5">
      <c r="B884" s="7">
        <v>45814</v>
      </c>
      <c r="C884" s="8">
        <v>2025</v>
      </c>
      <c r="D884" s="8" t="b">
        <f t="shared" si="13"/>
        <v>1</v>
      </c>
      <c r="E884">
        <v>65.3</v>
      </c>
    </row>
    <row r="885" spans="2:5">
      <c r="B885" s="7">
        <v>45817</v>
      </c>
      <c r="C885" s="8">
        <v>2025</v>
      </c>
      <c r="D885" s="8" t="b">
        <f t="shared" si="13"/>
        <v>1</v>
      </c>
      <c r="E885">
        <v>65.989999999999995</v>
      </c>
    </row>
    <row r="886" spans="2:5">
      <c r="B886" s="7">
        <v>45818</v>
      </c>
      <c r="C886" s="8">
        <v>2025</v>
      </c>
      <c r="D886" s="8" t="b">
        <f t="shared" si="13"/>
        <v>1</v>
      </c>
      <c r="E886">
        <v>65.66</v>
      </c>
    </row>
    <row r="887" spans="2:5">
      <c r="B887" s="7">
        <v>45819</v>
      </c>
      <c r="C887" s="8">
        <v>2025</v>
      </c>
      <c r="D887" s="8" t="b">
        <f t="shared" si="13"/>
        <v>1</v>
      </c>
      <c r="E887">
        <v>68.91</v>
      </c>
    </row>
    <row r="888" spans="2:5">
      <c r="B888" s="7">
        <v>45820</v>
      </c>
      <c r="C888" s="8">
        <v>2025</v>
      </c>
      <c r="D888" s="8" t="b">
        <f t="shared" si="13"/>
        <v>1</v>
      </c>
      <c r="E888">
        <v>68.73</v>
      </c>
    </row>
    <row r="889" spans="2:5">
      <c r="B889" s="7">
        <v>45821</v>
      </c>
      <c r="C889" s="8">
        <v>2025</v>
      </c>
      <c r="D889" s="8" t="b">
        <f t="shared" si="13"/>
        <v>1</v>
      </c>
      <c r="E889">
        <v>73.84</v>
      </c>
    </row>
    <row r="890" spans="2:5">
      <c r="B890" s="7">
        <v>45824</v>
      </c>
      <c r="C890" s="8">
        <v>2025</v>
      </c>
      <c r="D890" s="8" t="b">
        <f t="shared" si="13"/>
        <v>1</v>
      </c>
      <c r="E890">
        <v>72.53</v>
      </c>
    </row>
    <row r="891" spans="2:5">
      <c r="B891" s="7">
        <v>45825</v>
      </c>
      <c r="C891" s="8">
        <v>2025</v>
      </c>
      <c r="D891" s="8" t="b">
        <f t="shared" si="13"/>
        <v>1</v>
      </c>
      <c r="E891">
        <v>75.62</v>
      </c>
    </row>
    <row r="892" spans="2:5">
      <c r="B892" s="7">
        <v>45826</v>
      </c>
      <c r="C892" s="8">
        <v>2025</v>
      </c>
      <c r="D892" s="8" t="b">
        <f t="shared" si="13"/>
        <v>1</v>
      </c>
      <c r="E892">
        <v>75.89</v>
      </c>
    </row>
    <row r="893" spans="2:5">
      <c r="B893" s="7">
        <v>45827</v>
      </c>
      <c r="C893" s="8">
        <v>2025</v>
      </c>
      <c r="D893" s="8" t="b">
        <f t="shared" si="13"/>
        <v>0</v>
      </c>
    </row>
    <row r="894" spans="2:5">
      <c r="B894" s="7">
        <v>45828</v>
      </c>
      <c r="C894" s="8">
        <v>2025</v>
      </c>
      <c r="D894" s="8" t="b">
        <f t="shared" si="13"/>
        <v>1</v>
      </c>
      <c r="E894">
        <v>75.72</v>
      </c>
    </row>
    <row r="895" spans="2:5">
      <c r="B895" s="7">
        <v>45831</v>
      </c>
      <c r="C895" s="8">
        <v>2025</v>
      </c>
      <c r="D895" s="8" t="b">
        <f t="shared" si="13"/>
        <v>1</v>
      </c>
      <c r="E895">
        <v>69.36</v>
      </c>
    </row>
    <row r="896" spans="2:5">
      <c r="B896" s="7">
        <v>45832</v>
      </c>
      <c r="C896" s="8">
        <v>2025</v>
      </c>
      <c r="D896" s="8" t="b">
        <f t="shared" si="13"/>
        <v>1</v>
      </c>
      <c r="E896">
        <v>65.45</v>
      </c>
    </row>
    <row r="897" spans="2:5">
      <c r="B897" s="7">
        <v>45833</v>
      </c>
      <c r="C897" s="8">
        <v>2025</v>
      </c>
      <c r="D897" s="8" t="b">
        <f t="shared" si="13"/>
        <v>1</v>
      </c>
      <c r="E897">
        <v>65.98</v>
      </c>
    </row>
    <row r="898" spans="2:5">
      <c r="B898" s="7">
        <v>45834</v>
      </c>
      <c r="C898" s="8">
        <v>2025</v>
      </c>
      <c r="D898" s="8" t="b">
        <f t="shared" si="13"/>
        <v>1</v>
      </c>
      <c r="E898">
        <v>66.44</v>
      </c>
    </row>
    <row r="899" spans="2:5">
      <c r="B899" s="7">
        <v>45835</v>
      </c>
      <c r="C899" s="8">
        <v>2025</v>
      </c>
      <c r="D899" s="8" t="b">
        <f t="shared" si="13"/>
        <v>1</v>
      </c>
      <c r="E899">
        <v>66.66</v>
      </c>
    </row>
    <row r="900" spans="2:5">
      <c r="B900" s="7">
        <v>45838</v>
      </c>
      <c r="C900" s="8">
        <v>2025</v>
      </c>
      <c r="D900" s="8" t="b">
        <f t="shared" ref="D900:D963" si="14">ISNUMBER(E900)</f>
        <v>1</v>
      </c>
      <c r="E900">
        <v>66.3</v>
      </c>
    </row>
    <row r="901" spans="2:5">
      <c r="B901" s="7">
        <v>45839</v>
      </c>
      <c r="C901" s="8">
        <v>2025</v>
      </c>
      <c r="D901" s="8" t="b">
        <f t="shared" si="14"/>
        <v>1</v>
      </c>
      <c r="E901">
        <v>66.64</v>
      </c>
    </row>
    <row r="902" spans="2:5">
      <c r="B902" s="7">
        <v>45840</v>
      </c>
      <c r="C902" s="8">
        <v>2025</v>
      </c>
      <c r="D902" s="8" t="b">
        <f t="shared" si="14"/>
        <v>1</v>
      </c>
      <c r="E902">
        <v>68.66</v>
      </c>
    </row>
    <row r="903" spans="2:5">
      <c r="B903" s="7">
        <v>45841</v>
      </c>
      <c r="C903" s="8">
        <v>2025</v>
      </c>
      <c r="D903" s="8" t="b">
        <f t="shared" si="14"/>
        <v>1</v>
      </c>
      <c r="E903">
        <v>68.13</v>
      </c>
    </row>
    <row r="904" spans="2:5">
      <c r="B904" s="7">
        <v>45842</v>
      </c>
      <c r="C904" s="8">
        <v>2025</v>
      </c>
      <c r="D904" s="8" t="b">
        <f t="shared" si="14"/>
        <v>0</v>
      </c>
    </row>
    <row r="905" spans="2:5">
      <c r="B905" s="7">
        <v>45845</v>
      </c>
      <c r="C905" s="8">
        <v>2025</v>
      </c>
      <c r="D905" s="8" t="b">
        <f t="shared" si="14"/>
        <v>1</v>
      </c>
      <c r="E905">
        <v>69.16</v>
      </c>
    </row>
    <row r="906" spans="2:5">
      <c r="B906" s="7">
        <v>45846</v>
      </c>
      <c r="C906" s="8">
        <v>2025</v>
      </c>
      <c r="D906" s="8" t="b">
        <f t="shared" si="14"/>
        <v>1</v>
      </c>
      <c r="E906">
        <v>69.55</v>
      </c>
    </row>
    <row r="907" spans="2:5">
      <c r="B907" s="7">
        <v>45847</v>
      </c>
      <c r="C907" s="8">
        <v>2025</v>
      </c>
      <c r="D907" s="8" t="b">
        <f t="shared" si="14"/>
        <v>1</v>
      </c>
      <c r="E907">
        <v>69.61</v>
      </c>
    </row>
    <row r="908" spans="2:5">
      <c r="B908" s="7">
        <v>45848</v>
      </c>
      <c r="C908" s="8">
        <v>2025</v>
      </c>
      <c r="D908" s="8" t="b">
        <f t="shared" si="14"/>
        <v>1</v>
      </c>
      <c r="E908">
        <v>67.78</v>
      </c>
    </row>
    <row r="909" spans="2:5">
      <c r="B909" s="7">
        <v>45849</v>
      </c>
      <c r="C909" s="8">
        <v>2025</v>
      </c>
      <c r="D909" s="8" t="b">
        <f t="shared" si="14"/>
        <v>1</v>
      </c>
      <c r="E909">
        <v>69.63</v>
      </c>
    </row>
    <row r="910" spans="2:5">
      <c r="B910" s="7">
        <v>45852</v>
      </c>
      <c r="C910" s="8">
        <v>2025</v>
      </c>
      <c r="D910" s="8" t="b">
        <f t="shared" si="14"/>
        <v>1</v>
      </c>
      <c r="E910">
        <v>68.19</v>
      </c>
    </row>
    <row r="911" spans="2:5">
      <c r="B911" s="7">
        <v>45853</v>
      </c>
      <c r="C911" s="8">
        <v>2025</v>
      </c>
      <c r="D911" s="8" t="b">
        <f t="shared" si="14"/>
        <v>1</v>
      </c>
      <c r="E911">
        <v>67.760000000000005</v>
      </c>
    </row>
    <row r="912" spans="2:5">
      <c r="B912" s="7">
        <v>45854</v>
      </c>
      <c r="C912" s="8">
        <v>2025</v>
      </c>
      <c r="D912" s="8" t="b">
        <f t="shared" si="14"/>
        <v>1</v>
      </c>
      <c r="E912">
        <v>67.13</v>
      </c>
    </row>
    <row r="913" spans="2:5">
      <c r="B913" s="7">
        <v>45855</v>
      </c>
      <c r="C913" s="8">
        <v>2025</v>
      </c>
      <c r="D913" s="8" t="b">
        <f t="shared" si="14"/>
        <v>1</v>
      </c>
      <c r="E913">
        <v>68.760000000000005</v>
      </c>
    </row>
    <row r="914" spans="2:5">
      <c r="B914" s="7">
        <v>45856</v>
      </c>
      <c r="C914" s="8">
        <v>2025</v>
      </c>
      <c r="D914" s="8" t="b">
        <f t="shared" si="14"/>
        <v>1</v>
      </c>
      <c r="E914">
        <v>68.53</v>
      </c>
    </row>
    <row r="915" spans="2:5">
      <c r="B915" s="7">
        <v>45859</v>
      </c>
      <c r="C915" s="8">
        <v>2025</v>
      </c>
      <c r="D915" s="8" t="b">
        <f t="shared" si="14"/>
        <v>1</v>
      </c>
      <c r="E915">
        <v>68.39</v>
      </c>
    </row>
    <row r="916" spans="2:5">
      <c r="B916" s="7">
        <v>45860</v>
      </c>
      <c r="C916" s="8">
        <v>2025</v>
      </c>
      <c r="D916" s="8" t="b">
        <f t="shared" si="14"/>
        <v>1</v>
      </c>
      <c r="E916">
        <v>67.56</v>
      </c>
    </row>
    <row r="917" spans="2:5">
      <c r="B917" s="7">
        <v>45861</v>
      </c>
      <c r="C917" s="8">
        <v>2025</v>
      </c>
      <c r="D917" s="8" t="b">
        <f t="shared" si="14"/>
        <v>1</v>
      </c>
      <c r="E917">
        <v>66.05</v>
      </c>
    </row>
    <row r="918" spans="2:5">
      <c r="B918" s="7">
        <v>45862</v>
      </c>
      <c r="C918" s="8">
        <v>2025</v>
      </c>
      <c r="D918" s="8" t="b">
        <f t="shared" si="14"/>
        <v>1</v>
      </c>
      <c r="E918">
        <v>67.16</v>
      </c>
    </row>
    <row r="919" spans="2:5">
      <c r="B919" s="7">
        <v>45863</v>
      </c>
      <c r="C919" s="8">
        <v>2025</v>
      </c>
      <c r="D919" s="8" t="b">
        <f t="shared" si="14"/>
        <v>1</v>
      </c>
      <c r="E919">
        <v>66.38</v>
      </c>
    </row>
    <row r="920" spans="2:5">
      <c r="B920" s="7">
        <v>45866</v>
      </c>
      <c r="C920" s="8">
        <v>2025</v>
      </c>
      <c r="D920" s="8" t="b">
        <f t="shared" si="14"/>
        <v>1</v>
      </c>
      <c r="E920">
        <v>67.81</v>
      </c>
    </row>
    <row r="921" spans="2:5">
      <c r="B921" s="7">
        <v>45867</v>
      </c>
      <c r="C921" s="8">
        <v>2025</v>
      </c>
      <c r="D921" s="8" t="b">
        <f t="shared" si="14"/>
        <v>1</v>
      </c>
      <c r="E921">
        <v>70.27</v>
      </c>
    </row>
    <row r="922" spans="2:5">
      <c r="B922" s="7">
        <v>45868</v>
      </c>
      <c r="C922" s="8">
        <v>2025</v>
      </c>
      <c r="D922" s="8" t="b">
        <f t="shared" si="14"/>
        <v>1</v>
      </c>
      <c r="E922">
        <v>71.09</v>
      </c>
    </row>
    <row r="923" spans="2:5">
      <c r="B923" s="7">
        <v>45869</v>
      </c>
      <c r="C923" s="8">
        <v>2025</v>
      </c>
      <c r="D923" s="8" t="b">
        <f t="shared" si="14"/>
        <v>1</v>
      </c>
      <c r="E923">
        <v>70.36</v>
      </c>
    </row>
    <row r="924" spans="2:5">
      <c r="B924" s="7">
        <v>45870</v>
      </c>
      <c r="C924" s="8">
        <v>2025</v>
      </c>
      <c r="D924" s="8" t="b">
        <f t="shared" si="14"/>
        <v>1</v>
      </c>
      <c r="E924">
        <v>68.39</v>
      </c>
    </row>
    <row r="925" spans="2:5">
      <c r="B925" s="7">
        <v>45873</v>
      </c>
      <c r="C925" s="8">
        <v>2025</v>
      </c>
      <c r="D925" s="8" t="b">
        <f t="shared" si="14"/>
        <v>1</v>
      </c>
      <c r="E925">
        <v>67.33</v>
      </c>
    </row>
    <row r="926" spans="2:5">
      <c r="B926" s="7">
        <v>45874</v>
      </c>
      <c r="C926" s="8">
        <v>2025</v>
      </c>
      <c r="D926" s="8" t="b">
        <f t="shared" si="14"/>
        <v>1</v>
      </c>
      <c r="E926">
        <v>66.2</v>
      </c>
    </row>
    <row r="927" spans="2:5">
      <c r="B927" s="7">
        <v>45875</v>
      </c>
      <c r="C927" s="8">
        <v>2025</v>
      </c>
      <c r="D927" s="8" t="b">
        <f t="shared" si="14"/>
        <v>1</v>
      </c>
      <c r="E927">
        <v>65.38</v>
      </c>
    </row>
    <row r="928" spans="2:5">
      <c r="B928" s="7">
        <v>45876</v>
      </c>
      <c r="C928" s="8">
        <v>2025</v>
      </c>
      <c r="D928" s="8" t="b">
        <f t="shared" si="14"/>
        <v>1</v>
      </c>
      <c r="E928">
        <v>64.900000000000006</v>
      </c>
    </row>
    <row r="929" spans="2:5">
      <c r="B929" s="7">
        <v>45877</v>
      </c>
      <c r="C929" s="8">
        <v>2025</v>
      </c>
      <c r="D929" s="8" t="b">
        <f t="shared" si="14"/>
        <v>1</v>
      </c>
      <c r="E929">
        <v>64.94</v>
      </c>
    </row>
    <row r="930" spans="2:5">
      <c r="B930" s="7">
        <v>45880</v>
      </c>
      <c r="C930" s="8">
        <v>2025</v>
      </c>
      <c r="D930" s="8" t="b">
        <f t="shared" si="14"/>
        <v>1</v>
      </c>
      <c r="E930">
        <v>65.03</v>
      </c>
    </row>
    <row r="931" spans="2:5">
      <c r="B931" s="7">
        <v>45881</v>
      </c>
      <c r="C931" s="8">
        <v>2025</v>
      </c>
      <c r="D931" s="8" t="b">
        <f t="shared" si="14"/>
        <v>1</v>
      </c>
      <c r="E931">
        <v>64.22</v>
      </c>
    </row>
    <row r="932" spans="2:5">
      <c r="B932" s="7">
        <v>45882</v>
      </c>
      <c r="C932" s="8">
        <v>2025</v>
      </c>
      <c r="D932" s="8" t="b">
        <f t="shared" si="14"/>
        <v>1</v>
      </c>
      <c r="E932">
        <v>63.68</v>
      </c>
    </row>
    <row r="933" spans="2:5">
      <c r="B933" s="7">
        <v>45883</v>
      </c>
      <c r="C933" s="8">
        <v>2025</v>
      </c>
      <c r="D933" s="8" t="b">
        <f t="shared" si="14"/>
        <v>1</v>
      </c>
      <c r="E933">
        <v>64.989999999999995</v>
      </c>
    </row>
    <row r="934" spans="2:5">
      <c r="B934" s="7">
        <v>45884</v>
      </c>
      <c r="C934" s="8">
        <v>2025</v>
      </c>
      <c r="D934" s="8" t="b">
        <f t="shared" si="14"/>
        <v>1</v>
      </c>
      <c r="E934">
        <v>63.78</v>
      </c>
    </row>
    <row r="935" spans="2:5">
      <c r="B935" s="7">
        <v>45887</v>
      </c>
      <c r="C935" s="8">
        <v>2025</v>
      </c>
      <c r="D935" s="8" t="b">
        <f t="shared" si="14"/>
        <v>1</v>
      </c>
      <c r="E935">
        <v>64.510000000000005</v>
      </c>
    </row>
    <row r="936" spans="2:5">
      <c r="B936" s="7">
        <v>45888</v>
      </c>
      <c r="C936" s="8">
        <v>2025</v>
      </c>
      <c r="D936" s="8" t="b">
        <f t="shared" si="14"/>
        <v>1</v>
      </c>
      <c r="E936">
        <v>63.38</v>
      </c>
    </row>
    <row r="937" spans="2:5">
      <c r="B937" s="7">
        <v>45889</v>
      </c>
      <c r="C937" s="8">
        <v>2025</v>
      </c>
      <c r="D937" s="8" t="b">
        <f t="shared" si="14"/>
        <v>1</v>
      </c>
      <c r="E937">
        <v>64.19</v>
      </c>
    </row>
    <row r="938" spans="2:5">
      <c r="B938" s="7">
        <v>45890</v>
      </c>
      <c r="C938" s="8">
        <v>2025</v>
      </c>
      <c r="D938" s="8" t="b">
        <f t="shared" si="14"/>
        <v>1</v>
      </c>
      <c r="E938">
        <v>64.56</v>
      </c>
    </row>
    <row r="939" spans="2:5">
      <c r="B939" s="7">
        <v>45891</v>
      </c>
      <c r="C939" s="8">
        <v>2025</v>
      </c>
      <c r="D939" s="8" t="b">
        <f t="shared" si="14"/>
        <v>1</v>
      </c>
      <c r="E939">
        <v>64.08</v>
      </c>
    </row>
    <row r="940" spans="2:5">
      <c r="B940" s="7">
        <v>45894</v>
      </c>
      <c r="C940" s="8">
        <v>2025</v>
      </c>
      <c r="D940" s="8" t="b">
        <f t="shared" si="14"/>
        <v>1</v>
      </c>
      <c r="E940">
        <v>65.180000000000007</v>
      </c>
    </row>
    <row r="941" spans="2:5">
      <c r="B941" s="7">
        <v>45895</v>
      </c>
      <c r="C941" s="8">
        <v>2025</v>
      </c>
      <c r="D941" s="8" t="b">
        <f t="shared" si="14"/>
        <v>1</v>
      </c>
      <c r="E941">
        <v>63.6</v>
      </c>
    </row>
    <row r="942" spans="2:5">
      <c r="B942" s="7">
        <v>45896</v>
      </c>
      <c r="C942" s="8">
        <v>2025</v>
      </c>
      <c r="D942" s="8" t="b">
        <f t="shared" si="14"/>
        <v>1</v>
      </c>
      <c r="E942">
        <v>64.489999999999995</v>
      </c>
    </row>
    <row r="943" spans="2:5">
      <c r="B943" s="7">
        <v>45897</v>
      </c>
      <c r="C943" s="8">
        <v>2025</v>
      </c>
      <c r="D943" s="8" t="b">
        <f t="shared" si="14"/>
        <v>1</v>
      </c>
      <c r="E943">
        <v>64.959999999999994</v>
      </c>
    </row>
    <row r="944" spans="2:5">
      <c r="B944" s="7">
        <v>45898</v>
      </c>
      <c r="C944" s="8">
        <v>2025</v>
      </c>
      <c r="D944" s="8" t="b">
        <f t="shared" si="14"/>
        <v>1</v>
      </c>
      <c r="E944">
        <v>64.36</v>
      </c>
    </row>
    <row r="945" spans="2:5">
      <c r="B945" s="7">
        <v>45901</v>
      </c>
      <c r="C945" s="8">
        <v>2025</v>
      </c>
      <c r="D945" s="8" t="b">
        <f t="shared" si="14"/>
        <v>0</v>
      </c>
    </row>
    <row r="946" spans="2:5">
      <c r="B946" s="7">
        <v>45902</v>
      </c>
      <c r="C946" s="8">
        <v>2025</v>
      </c>
      <c r="D946" s="8" t="b">
        <f t="shared" si="14"/>
        <v>1</v>
      </c>
      <c r="E946">
        <v>65.95</v>
      </c>
    </row>
    <row r="947" spans="2:5">
      <c r="B947" s="7">
        <v>45903</v>
      </c>
      <c r="C947" s="8">
        <v>2025</v>
      </c>
      <c r="D947" s="8" t="b">
        <f t="shared" si="14"/>
        <v>1</v>
      </c>
      <c r="E947">
        <v>64.36</v>
      </c>
    </row>
    <row r="948" spans="2:5">
      <c r="B948" s="7">
        <v>45904</v>
      </c>
      <c r="C948" s="8">
        <v>2025</v>
      </c>
      <c r="D948" s="8" t="b">
        <f t="shared" si="14"/>
        <v>1</v>
      </c>
      <c r="E948">
        <v>63.81</v>
      </c>
    </row>
    <row r="949" spans="2:5">
      <c r="B949" s="7">
        <v>45905</v>
      </c>
      <c r="C949" s="8">
        <v>2025</v>
      </c>
      <c r="D949" s="8" t="b">
        <f t="shared" si="14"/>
        <v>1</v>
      </c>
      <c r="E949">
        <v>62.22</v>
      </c>
    </row>
    <row r="950" spans="2:5">
      <c r="B950" s="7">
        <v>45908</v>
      </c>
      <c r="C950" s="8">
        <v>2025</v>
      </c>
      <c r="D950" s="8" t="b">
        <f t="shared" si="14"/>
        <v>1</v>
      </c>
      <c r="E950">
        <v>62.6</v>
      </c>
    </row>
    <row r="951" spans="2:5">
      <c r="B951" s="7">
        <v>45909</v>
      </c>
      <c r="C951" s="8">
        <v>2025</v>
      </c>
      <c r="D951" s="8" t="b">
        <f t="shared" si="14"/>
        <v>1</v>
      </c>
      <c r="E951">
        <v>62.97</v>
      </c>
    </row>
    <row r="952" spans="2:5">
      <c r="B952" s="7">
        <v>45910</v>
      </c>
      <c r="C952" s="8">
        <v>2025</v>
      </c>
      <c r="D952" s="8" t="b">
        <f t="shared" si="14"/>
        <v>1</v>
      </c>
      <c r="E952">
        <v>64.010000000000005</v>
      </c>
    </row>
    <row r="953" spans="2:5">
      <c r="B953" s="7">
        <v>45911</v>
      </c>
      <c r="C953" s="8">
        <v>2025</v>
      </c>
      <c r="D953" s="8" t="b">
        <f t="shared" si="14"/>
        <v>1</v>
      </c>
      <c r="E953">
        <v>62.71</v>
      </c>
    </row>
    <row r="954" spans="2:5">
      <c r="B954" s="7">
        <v>45912</v>
      </c>
      <c r="C954" s="8">
        <v>2025</v>
      </c>
      <c r="D954" s="8" t="b">
        <f t="shared" si="14"/>
        <v>1</v>
      </c>
      <c r="E954">
        <v>63.02</v>
      </c>
    </row>
    <row r="955" spans="2:5">
      <c r="B955" s="7">
        <v>45915</v>
      </c>
      <c r="C955" s="8">
        <v>2025</v>
      </c>
      <c r="D955" s="8" t="b">
        <f t="shared" si="14"/>
        <v>1</v>
      </c>
      <c r="E955">
        <v>63.66</v>
      </c>
    </row>
    <row r="956" spans="2:5">
      <c r="B956" s="7">
        <v>45916</v>
      </c>
      <c r="C956" s="8">
        <v>2025</v>
      </c>
      <c r="D956" s="8" t="b">
        <f t="shared" si="14"/>
        <v>1</v>
      </c>
      <c r="E956">
        <v>64.89</v>
      </c>
    </row>
    <row r="957" spans="2:5">
      <c r="B957" s="7">
        <v>45917</v>
      </c>
      <c r="C957" s="8">
        <v>2025</v>
      </c>
      <c r="D957" s="8" t="b">
        <f t="shared" si="14"/>
        <v>1</v>
      </c>
      <c r="E957">
        <v>64.41</v>
      </c>
    </row>
    <row r="958" spans="2:5">
      <c r="B958" s="7">
        <v>45918</v>
      </c>
      <c r="C958" s="8">
        <v>2025</v>
      </c>
      <c r="D958" s="8" t="b">
        <f t="shared" si="14"/>
        <v>1</v>
      </c>
      <c r="E958">
        <v>63.91</v>
      </c>
    </row>
    <row r="959" spans="2:5">
      <c r="B959" s="7">
        <v>45919</v>
      </c>
      <c r="C959" s="8">
        <v>2025</v>
      </c>
      <c r="D959" s="8" t="b">
        <f t="shared" si="14"/>
        <v>1</v>
      </c>
      <c r="E959">
        <v>63.02</v>
      </c>
    </row>
    <row r="960" spans="2:5">
      <c r="B960" s="7">
        <v>45922</v>
      </c>
      <c r="C960" s="8">
        <v>2025</v>
      </c>
      <c r="D960" s="8" t="b">
        <f t="shared" si="14"/>
        <v>1</v>
      </c>
      <c r="E960">
        <v>62.99</v>
      </c>
    </row>
    <row r="961" spans="2:5">
      <c r="B961" s="7">
        <v>45923</v>
      </c>
      <c r="C961" s="8">
        <v>2025</v>
      </c>
      <c r="D961" s="8" t="b">
        <f t="shared" si="14"/>
        <v>1</v>
      </c>
      <c r="E961">
        <v>63.76</v>
      </c>
    </row>
    <row r="962" spans="2:5">
      <c r="B962" s="7">
        <v>45924</v>
      </c>
      <c r="C962" s="8">
        <v>2025</v>
      </c>
      <c r="D962" s="8" t="b">
        <f t="shared" si="14"/>
        <v>1</v>
      </c>
      <c r="E962">
        <v>65.400000000000006</v>
      </c>
    </row>
    <row r="963" spans="2:5">
      <c r="B963" s="7">
        <v>45925</v>
      </c>
      <c r="C963" s="8">
        <v>2025</v>
      </c>
      <c r="D963" s="8" t="b">
        <f t="shared" si="14"/>
        <v>1</v>
      </c>
      <c r="E963">
        <v>65.510000000000005</v>
      </c>
    </row>
    <row r="964" spans="2:5">
      <c r="B964" s="7">
        <v>45926</v>
      </c>
      <c r="C964" s="8">
        <v>2025</v>
      </c>
      <c r="D964" s="8" t="b">
        <f t="shared" ref="D964:D1027" si="15">ISNUMBER(E964)</f>
        <v>1</v>
      </c>
      <c r="E964">
        <v>66.5</v>
      </c>
    </row>
    <row r="965" spans="2:5">
      <c r="B965" s="7">
        <v>45929</v>
      </c>
      <c r="C965" s="8">
        <v>2025</v>
      </c>
      <c r="D965" s="8" t="b">
        <f t="shared" si="15"/>
        <v>1</v>
      </c>
      <c r="E965">
        <v>64.27</v>
      </c>
    </row>
    <row r="966" spans="2:5">
      <c r="B966" s="7">
        <v>45930</v>
      </c>
      <c r="C966" s="8">
        <v>2025</v>
      </c>
      <c r="D966" s="8" t="b">
        <f t="shared" si="15"/>
        <v>1</v>
      </c>
      <c r="E966">
        <v>63.17</v>
      </c>
    </row>
    <row r="967" spans="2:5">
      <c r="B967" s="7">
        <v>45931</v>
      </c>
      <c r="C967" s="8">
        <v>2025</v>
      </c>
      <c r="D967" s="8" t="b">
        <f t="shared" si="15"/>
        <v>1</v>
      </c>
      <c r="E967">
        <v>62.59</v>
      </c>
    </row>
    <row r="968" spans="2:5">
      <c r="B968" s="7">
        <v>45932</v>
      </c>
      <c r="C968" s="8">
        <v>2025</v>
      </c>
      <c r="D968" s="8" t="b">
        <f t="shared" si="15"/>
        <v>1</v>
      </c>
      <c r="E968">
        <v>61.28</v>
      </c>
    </row>
    <row r="969" spans="2:5">
      <c r="B969" s="7">
        <v>45933</v>
      </c>
      <c r="C969" s="8">
        <v>2025</v>
      </c>
      <c r="D969" s="8" t="b">
        <f t="shared" si="15"/>
        <v>1</v>
      </c>
      <c r="E969">
        <v>61.65</v>
      </c>
    </row>
    <row r="970" spans="2:5">
      <c r="B970" s="7">
        <v>45936</v>
      </c>
      <c r="C970" s="8">
        <v>2025</v>
      </c>
      <c r="D970" s="8" t="b">
        <f t="shared" si="15"/>
        <v>1</v>
      </c>
      <c r="E970">
        <v>62.49</v>
      </c>
    </row>
    <row r="971" spans="2:5">
      <c r="B971" s="7">
        <v>45937</v>
      </c>
      <c r="C971" s="8">
        <v>2025</v>
      </c>
      <c r="D971" s="8" t="b">
        <f t="shared" si="15"/>
        <v>1</v>
      </c>
      <c r="E971">
        <v>62.52</v>
      </c>
    </row>
    <row r="972" spans="2:5">
      <c r="B972" s="7">
        <v>45938</v>
      </c>
      <c r="C972" s="8">
        <v>2025</v>
      </c>
      <c r="D972" s="8" t="b">
        <f t="shared" si="15"/>
        <v>1</v>
      </c>
      <c r="E972">
        <v>63.37</v>
      </c>
    </row>
    <row r="973" spans="2:5">
      <c r="B973" s="7">
        <v>45939</v>
      </c>
      <c r="C973" s="8">
        <v>2025</v>
      </c>
      <c r="D973" s="8" t="b">
        <f t="shared" si="15"/>
        <v>1</v>
      </c>
      <c r="E973">
        <v>62.36</v>
      </c>
    </row>
    <row r="974" spans="2:5">
      <c r="B974" s="7">
        <v>45940</v>
      </c>
      <c r="C974" s="8">
        <v>2025</v>
      </c>
      <c r="D974" s="8" t="b">
        <f t="shared" si="15"/>
        <v>1</v>
      </c>
      <c r="E974">
        <v>59.75</v>
      </c>
    </row>
    <row r="975" spans="2:5">
      <c r="B975" s="7">
        <v>45943</v>
      </c>
      <c r="C975" s="8">
        <v>2025</v>
      </c>
      <c r="D975" s="8" t="b">
        <f t="shared" si="15"/>
        <v>0</v>
      </c>
    </row>
    <row r="976" spans="2:5">
      <c r="B976" s="7">
        <v>45944</v>
      </c>
      <c r="C976" s="8">
        <v>2025</v>
      </c>
      <c r="D976" s="8" t="b">
        <f t="shared" si="15"/>
        <v>1</v>
      </c>
      <c r="E976">
        <v>59.52</v>
      </c>
    </row>
    <row r="977" spans="2:5">
      <c r="B977" s="7">
        <v>45945</v>
      </c>
      <c r="C977" s="8">
        <v>2025</v>
      </c>
      <c r="D977" s="8" t="b">
        <f t="shared" si="15"/>
        <v>1</v>
      </c>
      <c r="E977">
        <v>59.08</v>
      </c>
    </row>
    <row r="978" spans="2:5">
      <c r="B978" s="7">
        <v>45946</v>
      </c>
      <c r="C978" s="8">
        <v>2025</v>
      </c>
      <c r="D978" s="8" t="b">
        <f t="shared" si="15"/>
        <v>1</v>
      </c>
      <c r="E978">
        <v>58.29</v>
      </c>
    </row>
    <row r="979" spans="2:5">
      <c r="B979" s="7">
        <v>45947</v>
      </c>
      <c r="C979" s="8">
        <v>2025</v>
      </c>
      <c r="D979" s="8" t="b">
        <f t="shared" si="15"/>
        <v>1</v>
      </c>
      <c r="E979">
        <v>58.3</v>
      </c>
    </row>
    <row r="980" spans="2:5">
      <c r="B980" s="7">
        <v>45950</v>
      </c>
      <c r="C980" s="8">
        <v>2025</v>
      </c>
      <c r="D980" s="8" t="b">
        <f t="shared" si="15"/>
        <v>1</v>
      </c>
      <c r="E980">
        <v>58.34</v>
      </c>
    </row>
    <row r="981" spans="2:5">
      <c r="B981" s="7">
        <v>45951</v>
      </c>
      <c r="C981" s="8">
        <v>2025</v>
      </c>
      <c r="D981" s="8" t="b">
        <f t="shared" si="15"/>
        <v>1</v>
      </c>
      <c r="E981">
        <v>58.66</v>
      </c>
    </row>
    <row r="982" spans="2:5">
      <c r="B982" s="7">
        <v>45952</v>
      </c>
      <c r="C982" s="8">
        <v>2025</v>
      </c>
      <c r="D982" s="8" t="b">
        <f t="shared" si="15"/>
        <v>1</v>
      </c>
      <c r="E982">
        <v>59.3</v>
      </c>
    </row>
    <row r="983" spans="2:5">
      <c r="B983" s="7">
        <v>45953</v>
      </c>
      <c r="C983" s="8">
        <v>2025</v>
      </c>
      <c r="D983" s="8" t="b">
        <f t="shared" si="15"/>
        <v>1</v>
      </c>
      <c r="E983">
        <v>62.44</v>
      </c>
    </row>
    <row r="984" spans="2:5">
      <c r="B984" s="7">
        <v>45954</v>
      </c>
      <c r="C984" s="8">
        <v>2025</v>
      </c>
      <c r="D984" s="8" t="b">
        <f t="shared" si="15"/>
        <v>1</v>
      </c>
      <c r="E984">
        <v>62.27</v>
      </c>
    </row>
    <row r="985" spans="2:5">
      <c r="B985" s="7">
        <v>45957</v>
      </c>
      <c r="C985" s="8">
        <v>2025</v>
      </c>
      <c r="D985" s="8" t="b">
        <f t="shared" si="15"/>
        <v>1</v>
      </c>
      <c r="E985">
        <v>62.13</v>
      </c>
    </row>
    <row r="986" spans="2:5">
      <c r="B986" s="7">
        <v>45958</v>
      </c>
      <c r="C986" s="8">
        <v>2025</v>
      </c>
      <c r="D986" s="8" t="b">
        <f t="shared" si="15"/>
        <v>1</v>
      </c>
      <c r="E986">
        <v>60.97</v>
      </c>
    </row>
    <row r="987" spans="2:5">
      <c r="B987" s="7">
        <v>45959</v>
      </c>
      <c r="C987" s="8">
        <v>2025</v>
      </c>
      <c r="D987" s="8" t="b">
        <f t="shared" si="15"/>
        <v>1</v>
      </c>
      <c r="E987">
        <v>61.26</v>
      </c>
    </row>
    <row r="988" spans="2:5">
      <c r="B988" s="7">
        <v>45960</v>
      </c>
      <c r="C988" s="8">
        <v>2025</v>
      </c>
      <c r="D988" s="8" t="b">
        <f t="shared" si="15"/>
        <v>1</v>
      </c>
      <c r="E988">
        <v>61.36</v>
      </c>
    </row>
    <row r="989" spans="2:5">
      <c r="B989" s="7">
        <v>45961</v>
      </c>
      <c r="C989" s="8">
        <v>2025</v>
      </c>
      <c r="D989" s="8" t="b">
        <f t="shared" si="15"/>
        <v>1</v>
      </c>
      <c r="E989">
        <v>61.75</v>
      </c>
    </row>
    <row r="990" spans="2:5">
      <c r="B990" s="7">
        <v>45964</v>
      </c>
      <c r="C990" s="8">
        <v>2025</v>
      </c>
      <c r="D990" s="8" t="b">
        <f t="shared" si="15"/>
        <v>1</v>
      </c>
      <c r="E990">
        <v>61.79</v>
      </c>
    </row>
    <row r="991" spans="2:5">
      <c r="B991" s="7">
        <v>45965</v>
      </c>
      <c r="C991" s="8">
        <v>2025</v>
      </c>
      <c r="D991" s="8" t="b">
        <f t="shared" si="15"/>
        <v>1</v>
      </c>
      <c r="E991">
        <v>61.38</v>
      </c>
    </row>
    <row r="992" spans="2:5">
      <c r="B992" s="7">
        <v>45966</v>
      </c>
      <c r="C992" s="8">
        <v>2025</v>
      </c>
      <c r="D992" s="8" t="b">
        <f t="shared" si="15"/>
        <v>1</v>
      </c>
      <c r="E992">
        <v>60.4</v>
      </c>
    </row>
    <row r="993" spans="2:5">
      <c r="B993" s="7">
        <v>45967</v>
      </c>
      <c r="C993" s="8">
        <v>2025</v>
      </c>
      <c r="D993" s="8" t="b">
        <f t="shared" si="15"/>
        <v>1</v>
      </c>
      <c r="E993">
        <v>60.24</v>
      </c>
    </row>
    <row r="994" spans="2:5">
      <c r="B994" s="7">
        <v>45968</v>
      </c>
      <c r="C994" s="8">
        <v>2025</v>
      </c>
      <c r="D994" s="8" t="b">
        <f t="shared" si="15"/>
        <v>1</v>
      </c>
      <c r="E994">
        <v>60.54</v>
      </c>
    </row>
    <row r="995" spans="2:5">
      <c r="B995" s="7">
        <v>45971</v>
      </c>
      <c r="C995" s="8">
        <v>2025</v>
      </c>
      <c r="D995" s="8" t="b">
        <f t="shared" si="15"/>
        <v>1</v>
      </c>
      <c r="E995">
        <v>60.94</v>
      </c>
    </row>
    <row r="996" spans="2:5">
      <c r="B996" s="7">
        <v>45972</v>
      </c>
      <c r="C996" s="8">
        <v>2025</v>
      </c>
      <c r="D996" s="8" t="b">
        <f t="shared" si="15"/>
        <v>0</v>
      </c>
    </row>
    <row r="997" spans="2:5">
      <c r="B997" s="7">
        <v>45973</v>
      </c>
      <c r="C997" s="8">
        <v>2025</v>
      </c>
      <c r="D997" s="8" t="b">
        <f t="shared" si="15"/>
        <v>1</v>
      </c>
      <c r="E997">
        <v>59.3</v>
      </c>
    </row>
    <row r="998" spans="2:5">
      <c r="B998" s="7">
        <v>45974</v>
      </c>
      <c r="C998" s="8">
        <v>2025</v>
      </c>
      <c r="D998" s="8" t="b">
        <f t="shared" si="15"/>
        <v>1</v>
      </c>
      <c r="E998">
        <v>59.54</v>
      </c>
    </row>
    <row r="999" spans="2:5">
      <c r="B999" s="7">
        <v>45975</v>
      </c>
      <c r="C999" s="8">
        <v>2025</v>
      </c>
      <c r="D999" s="8" t="b">
        <f t="shared" si="15"/>
        <v>1</v>
      </c>
      <c r="E999">
        <v>60.87</v>
      </c>
    </row>
    <row r="1000" spans="2:5">
      <c r="B1000" s="7">
        <v>45978</v>
      </c>
      <c r="C1000" s="8">
        <v>2025</v>
      </c>
      <c r="D1000" s="8" t="b">
        <f t="shared" si="15"/>
        <v>1</v>
      </c>
      <c r="E1000">
        <v>60.66</v>
      </c>
    </row>
    <row r="1001" spans="2:5">
      <c r="B1001" s="7">
        <v>45979</v>
      </c>
      <c r="C1001" s="8">
        <v>2025</v>
      </c>
      <c r="D1001" s="8" t="b">
        <f t="shared" si="15"/>
        <v>1</v>
      </c>
      <c r="E1001">
        <v>61.51</v>
      </c>
    </row>
    <row r="1002" spans="2:5">
      <c r="B1002" s="7">
        <v>45980</v>
      </c>
      <c r="C1002" s="8">
        <v>2025</v>
      </c>
      <c r="D1002" s="8" t="b">
        <f t="shared" si="15"/>
        <v>1</v>
      </c>
      <c r="E1002">
        <v>60.27</v>
      </c>
    </row>
    <row r="1003" spans="2:5">
      <c r="B1003" s="7">
        <v>45981</v>
      </c>
      <c r="C1003" s="8">
        <v>2025</v>
      </c>
      <c r="D1003" s="8" t="b">
        <f t="shared" si="15"/>
        <v>1</v>
      </c>
      <c r="E1003">
        <v>60.07</v>
      </c>
    </row>
    <row r="1004" spans="2:5">
      <c r="B1004" s="7">
        <v>45982</v>
      </c>
      <c r="C1004" s="8">
        <v>2025</v>
      </c>
      <c r="D1004" s="8" t="b">
        <f t="shared" si="15"/>
        <v>1</v>
      </c>
      <c r="E1004">
        <v>58.86</v>
      </c>
    </row>
    <row r="1005" spans="2:5">
      <c r="B1005" s="7">
        <v>45985</v>
      </c>
      <c r="C1005" s="8">
        <v>2025</v>
      </c>
      <c r="D1005" s="8" t="b">
        <f t="shared" si="15"/>
        <v>1</v>
      </c>
      <c r="E1005">
        <v>59.11</v>
      </c>
    </row>
    <row r="1006" spans="2:5">
      <c r="B1006" s="7">
        <v>45986</v>
      </c>
      <c r="C1006" s="8">
        <v>2025</v>
      </c>
      <c r="D1006" s="8" t="b">
        <f t="shared" si="15"/>
        <v>1</v>
      </c>
      <c r="E1006">
        <v>58.25</v>
      </c>
    </row>
    <row r="1007" spans="2:5">
      <c r="B1007" s="7">
        <v>45987</v>
      </c>
      <c r="C1007" s="8">
        <v>2025</v>
      </c>
      <c r="D1007" s="8" t="b">
        <f t="shared" si="15"/>
        <v>1</v>
      </c>
      <c r="E1007">
        <v>58.81</v>
      </c>
    </row>
    <row r="1008" spans="2:5">
      <c r="B1008" s="7">
        <v>45988</v>
      </c>
      <c r="C1008" s="8">
        <v>2025</v>
      </c>
      <c r="D1008" s="8" t="b">
        <f t="shared" si="15"/>
        <v>0</v>
      </c>
    </row>
    <row r="1009" spans="2:5">
      <c r="B1009" s="7">
        <v>45989</v>
      </c>
      <c r="C1009" s="8">
        <v>2025</v>
      </c>
      <c r="D1009" s="8" t="b">
        <f t="shared" si="15"/>
        <v>1</v>
      </c>
      <c r="E1009">
        <v>58.58</v>
      </c>
    </row>
    <row r="1010" spans="2:5">
      <c r="B1010" s="7">
        <v>45992</v>
      </c>
      <c r="C1010" s="8">
        <v>2025</v>
      </c>
      <c r="D1010" s="8" t="b">
        <f t="shared" si="15"/>
        <v>1</v>
      </c>
      <c r="E1010">
        <v>59.47</v>
      </c>
    </row>
    <row r="1011" spans="2:5">
      <c r="B1011" s="7">
        <v>45993</v>
      </c>
      <c r="C1011" s="8">
        <v>2025</v>
      </c>
      <c r="D1011" s="8" t="b">
        <f t="shared" si="15"/>
        <v>1</v>
      </c>
      <c r="E1011">
        <v>58.81</v>
      </c>
    </row>
    <row r="1012" spans="2:5">
      <c r="B1012" s="7">
        <v>45994</v>
      </c>
      <c r="C1012" s="8">
        <v>2025</v>
      </c>
      <c r="D1012" s="8" t="b">
        <f t="shared" si="15"/>
        <v>1</v>
      </c>
      <c r="E1012">
        <v>59.09</v>
      </c>
    </row>
    <row r="1013" spans="2:5">
      <c r="B1013" s="7">
        <v>45995</v>
      </c>
      <c r="C1013" s="8">
        <v>2025</v>
      </c>
      <c r="D1013" s="8" t="b">
        <f t="shared" si="15"/>
        <v>1</v>
      </c>
      <c r="E1013">
        <v>59.82</v>
      </c>
    </row>
    <row r="1014" spans="2:5">
      <c r="B1014" s="7">
        <v>45996</v>
      </c>
      <c r="C1014" s="8">
        <v>2025</v>
      </c>
      <c r="D1014" s="8" t="b">
        <f t="shared" si="15"/>
        <v>1</v>
      </c>
      <c r="E1014">
        <v>60.23</v>
      </c>
    </row>
    <row r="1015" spans="2:5">
      <c r="B1015" s="7">
        <v>45999</v>
      </c>
      <c r="C1015" s="8">
        <v>2025</v>
      </c>
      <c r="D1015" s="8" t="b">
        <f t="shared" si="15"/>
        <v>1</v>
      </c>
      <c r="E1015">
        <v>59.04</v>
      </c>
    </row>
    <row r="1016" spans="2:5">
      <c r="B1016" s="7">
        <v>46000</v>
      </c>
      <c r="C1016" s="8">
        <v>2025</v>
      </c>
      <c r="D1016" s="8" t="b">
        <f t="shared" si="15"/>
        <v>1</v>
      </c>
      <c r="E1016">
        <v>58.4</v>
      </c>
    </row>
    <row r="1017" spans="2:5">
      <c r="B1017" s="7">
        <v>46001</v>
      </c>
      <c r="C1017" s="8">
        <v>2025</v>
      </c>
      <c r="D1017" s="8" t="b">
        <f t="shared" si="15"/>
        <v>1</v>
      </c>
      <c r="E1017">
        <v>58.67</v>
      </c>
    </row>
    <row r="1018" spans="2:5">
      <c r="B1018" s="7">
        <v>46002</v>
      </c>
      <c r="C1018" s="8">
        <v>2025</v>
      </c>
      <c r="D1018" s="8" t="b">
        <f t="shared" si="15"/>
        <v>1</v>
      </c>
      <c r="E1018">
        <v>57.76</v>
      </c>
    </row>
    <row r="1019" spans="2:5">
      <c r="B1019" s="7">
        <v>46003</v>
      </c>
      <c r="C1019" s="8">
        <v>2025</v>
      </c>
      <c r="D1019" s="8" t="b">
        <f t="shared" si="15"/>
        <v>1</v>
      </c>
      <c r="E1019">
        <v>57.61</v>
      </c>
    </row>
    <row r="1020" spans="2:5">
      <c r="B1020" s="7">
        <v>46006</v>
      </c>
      <c r="C1020" s="8">
        <v>2025</v>
      </c>
      <c r="D1020" s="8" t="b">
        <f t="shared" si="15"/>
        <v>1</v>
      </c>
      <c r="E1020">
        <v>56.97</v>
      </c>
    </row>
    <row r="1021" spans="2:5">
      <c r="B1021" s="7">
        <v>46007</v>
      </c>
      <c r="C1021" s="8">
        <v>2025</v>
      </c>
      <c r="D1021" s="8" t="b">
        <f t="shared" si="15"/>
        <v>1</v>
      </c>
      <c r="E1021">
        <v>55.44</v>
      </c>
    </row>
    <row r="1022" spans="2:5">
      <c r="B1022" s="7">
        <v>46008</v>
      </c>
      <c r="C1022" s="8">
        <v>2025</v>
      </c>
      <c r="D1022" s="8" t="b">
        <f t="shared" si="15"/>
        <v>1</v>
      </c>
      <c r="E1022">
        <v>56.07</v>
      </c>
    </row>
    <row r="1023" spans="2:5">
      <c r="B1023" s="7">
        <v>46009</v>
      </c>
      <c r="C1023" s="8">
        <v>2025</v>
      </c>
      <c r="D1023" s="8" t="b">
        <f t="shared" si="15"/>
        <v>1</v>
      </c>
      <c r="E1023">
        <v>56.22</v>
      </c>
    </row>
    <row r="1024" spans="2:5">
      <c r="B1024" s="7">
        <v>46010</v>
      </c>
      <c r="C1024" s="8">
        <v>2025</v>
      </c>
      <c r="D1024" s="8" t="b">
        <f t="shared" si="15"/>
        <v>1</v>
      </c>
      <c r="E1024">
        <v>56.8</v>
      </c>
    </row>
    <row r="1025" spans="2:5">
      <c r="B1025" s="7">
        <v>46013</v>
      </c>
      <c r="C1025" s="8">
        <v>2025</v>
      </c>
      <c r="D1025" s="8" t="b">
        <f t="shared" si="15"/>
        <v>1</v>
      </c>
      <c r="E1025">
        <v>58.18</v>
      </c>
    </row>
    <row r="1026" spans="2:5">
      <c r="B1026" s="7">
        <v>46014</v>
      </c>
      <c r="C1026" s="8">
        <v>2025</v>
      </c>
      <c r="D1026" s="8" t="b">
        <f t="shared" si="15"/>
        <v>1</v>
      </c>
      <c r="E1026">
        <v>58.55</v>
      </c>
    </row>
    <row r="1027" spans="2:5">
      <c r="B1027" s="7">
        <v>46015</v>
      </c>
      <c r="C1027" s="8">
        <v>2025</v>
      </c>
      <c r="D1027" s="8" t="b">
        <f t="shared" si="15"/>
        <v>1</v>
      </c>
      <c r="E1027">
        <v>58.72</v>
      </c>
    </row>
    <row r="1028" spans="2:5">
      <c r="B1028" s="7">
        <v>46017</v>
      </c>
      <c r="C1028" s="8">
        <v>2025</v>
      </c>
      <c r="D1028" s="8" t="b">
        <f t="shared" ref="D1028:D1088" si="16">ISNUMBER(E1028)</f>
        <v>1</v>
      </c>
      <c r="E1028">
        <v>56.6</v>
      </c>
    </row>
    <row r="1029" spans="2:5">
      <c r="B1029" s="7">
        <v>46020</v>
      </c>
      <c r="C1029" s="8">
        <v>2025</v>
      </c>
      <c r="D1029" s="8" t="b">
        <f t="shared" si="16"/>
        <v>1</v>
      </c>
      <c r="E1029">
        <v>57.89</v>
      </c>
    </row>
    <row r="1030" spans="2:5">
      <c r="B1030" s="7">
        <v>46021</v>
      </c>
      <c r="C1030" s="8">
        <v>2025</v>
      </c>
      <c r="D1030" s="8" t="b">
        <f t="shared" si="16"/>
        <v>1</v>
      </c>
      <c r="E1030">
        <v>57.79</v>
      </c>
    </row>
    <row r="1031" spans="2:5">
      <c r="B1031" s="7">
        <v>46022</v>
      </c>
      <c r="C1031" s="8">
        <v>2025</v>
      </c>
      <c r="D1031" s="8" t="b">
        <f t="shared" si="16"/>
        <v>1</v>
      </c>
      <c r="E1031">
        <v>57.26</v>
      </c>
    </row>
    <row r="1032" spans="2:5">
      <c r="B1032" s="7">
        <v>46024</v>
      </c>
      <c r="C1032" s="8">
        <v>2026</v>
      </c>
      <c r="D1032" s="8" t="b">
        <f t="shared" si="16"/>
        <v>1</v>
      </c>
      <c r="E1032">
        <v>57.21</v>
      </c>
    </row>
    <row r="1033" spans="2:5">
      <c r="B1033" s="7">
        <v>46027</v>
      </c>
      <c r="C1033" s="8">
        <v>2026</v>
      </c>
      <c r="D1033" s="8" t="b">
        <f t="shared" si="16"/>
        <v>1</v>
      </c>
      <c r="E1033">
        <v>58.1</v>
      </c>
    </row>
    <row r="1034" spans="2:5">
      <c r="B1034" s="7">
        <v>46028</v>
      </c>
      <c r="C1034" s="8">
        <v>2026</v>
      </c>
      <c r="D1034" s="8" t="b">
        <f t="shared" si="16"/>
        <v>1</v>
      </c>
      <c r="E1034">
        <v>56.97</v>
      </c>
    </row>
    <row r="1035" spans="2:5">
      <c r="B1035" s="7">
        <v>46029</v>
      </c>
      <c r="C1035" s="8">
        <v>2026</v>
      </c>
      <c r="D1035" s="8" t="b">
        <f t="shared" si="16"/>
        <v>1</v>
      </c>
      <c r="E1035">
        <v>56.01</v>
      </c>
    </row>
    <row r="1036" spans="2:5">
      <c r="B1036" s="7">
        <v>46030</v>
      </c>
      <c r="C1036" s="8">
        <v>2026</v>
      </c>
      <c r="D1036" s="8" t="b">
        <f t="shared" si="16"/>
        <v>1</v>
      </c>
      <c r="E1036">
        <v>57.74</v>
      </c>
    </row>
    <row r="1037" spans="2:5">
      <c r="B1037" s="7">
        <v>46031</v>
      </c>
      <c r="C1037" s="8">
        <v>2026</v>
      </c>
      <c r="D1037" s="8" t="b">
        <f t="shared" si="16"/>
        <v>1</v>
      </c>
      <c r="E1037">
        <v>58.96</v>
      </c>
    </row>
    <row r="1038" spans="2:5">
      <c r="B1038" s="7">
        <v>46034</v>
      </c>
      <c r="C1038" s="8">
        <v>2026</v>
      </c>
      <c r="D1038" s="8" t="b">
        <f t="shared" si="16"/>
        <v>1</v>
      </c>
      <c r="E1038">
        <v>59.39</v>
      </c>
    </row>
    <row r="1039" spans="2:5">
      <c r="B1039" s="7">
        <v>46035</v>
      </c>
      <c r="C1039" s="8">
        <v>2026</v>
      </c>
      <c r="D1039" s="8" t="b">
        <f t="shared" si="16"/>
        <v>1</v>
      </c>
      <c r="E1039">
        <v>60.85</v>
      </c>
    </row>
    <row r="1040" spans="2:5">
      <c r="B1040" s="7">
        <v>46036</v>
      </c>
      <c r="C1040" s="8">
        <v>2026</v>
      </c>
      <c r="D1040" s="8" t="b">
        <f t="shared" si="16"/>
        <v>1</v>
      </c>
      <c r="E1040">
        <v>61.84</v>
      </c>
    </row>
    <row r="1041" spans="2:5">
      <c r="B1041" s="7">
        <v>46037</v>
      </c>
      <c r="C1041" s="8">
        <v>2026</v>
      </c>
      <c r="D1041" s="8" t="b">
        <f t="shared" si="16"/>
        <v>1</v>
      </c>
      <c r="E1041">
        <v>59.13</v>
      </c>
    </row>
    <row r="1042" spans="2:5">
      <c r="B1042" s="7">
        <v>46038</v>
      </c>
      <c r="C1042" s="8">
        <v>2026</v>
      </c>
      <c r="D1042" s="8" t="b">
        <f t="shared" si="16"/>
        <v>1</v>
      </c>
      <c r="E1042">
        <v>59.4</v>
      </c>
    </row>
    <row r="1043" spans="2:5">
      <c r="B1043" s="7">
        <v>46041</v>
      </c>
      <c r="C1043" s="8">
        <v>2026</v>
      </c>
      <c r="D1043" s="8" t="b">
        <f t="shared" si="16"/>
        <v>0</v>
      </c>
    </row>
    <row r="1044" spans="2:5">
      <c r="B1044" s="7">
        <v>46042</v>
      </c>
      <c r="C1044" s="8">
        <v>2026</v>
      </c>
      <c r="D1044" s="8" t="b">
        <f t="shared" si="16"/>
        <v>1</v>
      </c>
      <c r="E1044">
        <v>60.3</v>
      </c>
    </row>
    <row r="1045" spans="2:5">
      <c r="B1045" s="7">
        <v>46043</v>
      </c>
      <c r="C1045" s="8">
        <v>2026</v>
      </c>
      <c r="D1045" s="8" t="b">
        <f t="shared" si="16"/>
        <v>1</v>
      </c>
      <c r="E1045">
        <v>60.38</v>
      </c>
    </row>
    <row r="1046" spans="2:5">
      <c r="B1046" s="7">
        <v>46044</v>
      </c>
      <c r="C1046" s="8">
        <v>2026</v>
      </c>
      <c r="D1046" s="8" t="b">
        <f t="shared" si="16"/>
        <v>1</v>
      </c>
      <c r="E1046">
        <v>59.24</v>
      </c>
    </row>
    <row r="1047" spans="2:5">
      <c r="B1047" s="7">
        <v>46045</v>
      </c>
      <c r="C1047" s="8">
        <v>2026</v>
      </c>
      <c r="D1047" s="8" t="b">
        <f t="shared" si="16"/>
        <v>1</v>
      </c>
      <c r="E1047">
        <v>60.7</v>
      </c>
    </row>
    <row r="1048" spans="2:5">
      <c r="B1048" s="7">
        <v>46048</v>
      </c>
      <c r="C1048" s="8">
        <v>2026</v>
      </c>
      <c r="D1048" s="8" t="b">
        <f t="shared" si="16"/>
        <v>1</v>
      </c>
      <c r="E1048">
        <v>60.46</v>
      </c>
    </row>
    <row r="1049" spans="2:5">
      <c r="B1049" s="7">
        <v>46049</v>
      </c>
      <c r="C1049" s="8">
        <v>2026</v>
      </c>
      <c r="D1049" s="8" t="b">
        <f t="shared" si="16"/>
        <v>1</v>
      </c>
      <c r="E1049">
        <v>62.04</v>
      </c>
    </row>
    <row r="1050" spans="2:5">
      <c r="B1050" s="7">
        <v>46050</v>
      </c>
      <c r="C1050" s="8">
        <v>2026</v>
      </c>
      <c r="D1050" s="8" t="b">
        <f t="shared" si="16"/>
        <v>1</v>
      </c>
      <c r="E1050">
        <v>62.75</v>
      </c>
    </row>
    <row r="1051" spans="2:5">
      <c r="B1051" s="7">
        <v>46051</v>
      </c>
      <c r="C1051" s="8">
        <v>2026</v>
      </c>
      <c r="D1051" s="8" t="b">
        <f t="shared" si="16"/>
        <v>1</v>
      </c>
      <c r="E1051">
        <v>64.77</v>
      </c>
    </row>
    <row r="1052" spans="2:5">
      <c r="B1052" s="7">
        <v>46052</v>
      </c>
      <c r="C1052" s="8">
        <v>2026</v>
      </c>
      <c r="D1052" s="8" t="b">
        <f t="shared" si="16"/>
        <v>1</v>
      </c>
      <c r="E1052">
        <v>64.5</v>
      </c>
    </row>
    <row r="1053" spans="2:5">
      <c r="B1053" s="7">
        <v>46055</v>
      </c>
      <c r="C1053" s="8">
        <v>2026</v>
      </c>
      <c r="D1053" s="8" t="b">
        <f t="shared" si="16"/>
        <v>1</v>
      </c>
      <c r="E1053">
        <v>61.6</v>
      </c>
    </row>
    <row r="1054" spans="2:5">
      <c r="B1054" s="7">
        <v>46056</v>
      </c>
      <c r="C1054" s="8">
        <v>2026</v>
      </c>
      <c r="D1054" s="8" t="b">
        <f t="shared" si="16"/>
        <v>1</v>
      </c>
      <c r="E1054">
        <v>62.62</v>
      </c>
    </row>
    <row r="1055" spans="2:5">
      <c r="B1055" s="7">
        <v>46057</v>
      </c>
      <c r="C1055" s="8">
        <v>2026</v>
      </c>
      <c r="D1055" s="8" t="b">
        <f t="shared" si="16"/>
        <v>1</v>
      </c>
      <c r="E1055">
        <v>64.56</v>
      </c>
    </row>
    <row r="1056" spans="2:5">
      <c r="B1056" s="7">
        <v>46058</v>
      </c>
      <c r="C1056" s="8">
        <v>2026</v>
      </c>
      <c r="D1056" s="8" t="b">
        <f t="shared" si="16"/>
        <v>1</v>
      </c>
      <c r="E1056">
        <v>62.9</v>
      </c>
    </row>
    <row r="1057" spans="2:5">
      <c r="B1057" s="7">
        <v>46059</v>
      </c>
      <c r="C1057" s="8">
        <v>2026</v>
      </c>
      <c r="D1057" s="8" t="b">
        <f t="shared" si="16"/>
        <v>1</v>
      </c>
      <c r="E1057">
        <v>63.77</v>
      </c>
    </row>
    <row r="1058" spans="2:5">
      <c r="B1058" s="7">
        <v>46062</v>
      </c>
      <c r="C1058" s="8">
        <v>2026</v>
      </c>
      <c r="D1058" s="8" t="b">
        <f t="shared" si="16"/>
        <v>1</v>
      </c>
      <c r="E1058">
        <v>64.53</v>
      </c>
    </row>
    <row r="1059" spans="2:5">
      <c r="B1059" s="7">
        <v>46063</v>
      </c>
      <c r="C1059" s="8">
        <v>2026</v>
      </c>
      <c r="D1059" s="8" t="b">
        <f t="shared" si="16"/>
        <v>1</v>
      </c>
      <c r="E1059">
        <v>64.2</v>
      </c>
    </row>
    <row r="1060" spans="2:5">
      <c r="B1060" s="7">
        <v>46064</v>
      </c>
      <c r="C1060" s="8">
        <v>2026</v>
      </c>
      <c r="D1060" s="8" t="b">
        <f t="shared" si="16"/>
        <v>1</v>
      </c>
      <c r="E1060">
        <v>64.8</v>
      </c>
    </row>
    <row r="1061" spans="2:5">
      <c r="B1061" s="7">
        <v>46065</v>
      </c>
      <c r="C1061" s="8">
        <v>2026</v>
      </c>
      <c r="D1061" s="8" t="b">
        <f t="shared" si="16"/>
        <v>1</v>
      </c>
      <c r="E1061">
        <v>63.08</v>
      </c>
    </row>
    <row r="1062" spans="2:5">
      <c r="B1062" s="7">
        <v>46066</v>
      </c>
      <c r="C1062" s="8">
        <v>2026</v>
      </c>
      <c r="D1062" s="8" t="b">
        <f t="shared" si="16"/>
        <v>1</v>
      </c>
      <c r="E1062">
        <v>63.05</v>
      </c>
    </row>
    <row r="1063" spans="2:5">
      <c r="B1063" s="7">
        <v>46069</v>
      </c>
      <c r="C1063" s="8">
        <v>2026</v>
      </c>
      <c r="D1063" s="8" t="b">
        <f t="shared" si="16"/>
        <v>0</v>
      </c>
    </row>
    <row r="1064" spans="2:5">
      <c r="B1064" s="7">
        <v>46070</v>
      </c>
      <c r="C1064" s="8">
        <v>2026</v>
      </c>
      <c r="D1064" s="8" t="b">
        <f t="shared" si="16"/>
        <v>1</v>
      </c>
      <c r="E1064">
        <v>62.53</v>
      </c>
    </row>
    <row r="1065" spans="2:5">
      <c r="B1065" s="7">
        <v>46071</v>
      </c>
      <c r="C1065" s="8">
        <v>2026</v>
      </c>
      <c r="D1065" s="8" t="b">
        <f t="shared" si="16"/>
        <v>1</v>
      </c>
      <c r="E1065">
        <v>65.33</v>
      </c>
    </row>
    <row r="1066" spans="2:5">
      <c r="B1066" s="7">
        <v>46072</v>
      </c>
      <c r="C1066" s="8">
        <v>2026</v>
      </c>
      <c r="D1066" s="8" t="b">
        <f t="shared" si="16"/>
        <v>1</v>
      </c>
      <c r="E1066">
        <v>66.66</v>
      </c>
    </row>
    <row r="1067" spans="2:5">
      <c r="B1067" s="7">
        <v>46073</v>
      </c>
      <c r="C1067" s="8">
        <v>2026</v>
      </c>
      <c r="D1067" s="8" t="b">
        <f t="shared" si="16"/>
        <v>1</v>
      </c>
      <c r="E1067">
        <v>66.69</v>
      </c>
    </row>
    <row r="1068" spans="2:5">
      <c r="B1068" s="7">
        <v>46076</v>
      </c>
      <c r="C1068" s="8">
        <v>2026</v>
      </c>
      <c r="D1068" s="8" t="b">
        <f t="shared" si="16"/>
        <v>1</v>
      </c>
      <c r="E1068">
        <v>66.36</v>
      </c>
    </row>
    <row r="1069" spans="2:5">
      <c r="B1069" s="7">
        <v>46077</v>
      </c>
      <c r="C1069" s="8">
        <v>2026</v>
      </c>
      <c r="D1069" s="8" t="b">
        <f t="shared" si="16"/>
        <v>1</v>
      </c>
      <c r="E1069">
        <v>65.62</v>
      </c>
    </row>
    <row r="1070" spans="2:5">
      <c r="B1070" s="7">
        <v>46078</v>
      </c>
      <c r="C1070" s="8">
        <v>2026</v>
      </c>
      <c r="D1070" s="8" t="b">
        <f t="shared" si="16"/>
        <v>1</v>
      </c>
      <c r="E1070">
        <v>65.3</v>
      </c>
    </row>
    <row r="1071" spans="2:5">
      <c r="B1071" s="7">
        <v>46079</v>
      </c>
      <c r="C1071" s="8">
        <v>2026</v>
      </c>
      <c r="D1071" s="8" t="b">
        <f t="shared" si="16"/>
        <v>1</v>
      </c>
      <c r="E1071">
        <v>65.099999999999994</v>
      </c>
    </row>
    <row r="1072" spans="2:5">
      <c r="B1072" s="7">
        <v>46080</v>
      </c>
      <c r="C1072" s="8">
        <v>2026</v>
      </c>
      <c r="D1072" s="8" t="b">
        <f t="shared" si="16"/>
        <v>1</v>
      </c>
      <c r="E1072">
        <v>66.959999999999994</v>
      </c>
    </row>
    <row r="1073" spans="2:5">
      <c r="B1073" s="7">
        <v>46083</v>
      </c>
      <c r="C1073" s="8">
        <v>2026</v>
      </c>
      <c r="D1073" s="8" t="b">
        <f t="shared" si="16"/>
        <v>1</v>
      </c>
      <c r="E1073">
        <v>71.13</v>
      </c>
    </row>
    <row r="1074" spans="2:5">
      <c r="B1074" s="7">
        <v>46084</v>
      </c>
      <c r="C1074" s="8">
        <v>2026</v>
      </c>
      <c r="D1074" s="8" t="b">
        <f t="shared" si="16"/>
        <v>1</v>
      </c>
      <c r="E1074">
        <v>74.48</v>
      </c>
    </row>
    <row r="1075" spans="2:5">
      <c r="B1075" s="7">
        <v>46085</v>
      </c>
      <c r="C1075" s="8">
        <v>2026</v>
      </c>
      <c r="D1075" s="8" t="b">
        <f t="shared" si="16"/>
        <v>1</v>
      </c>
      <c r="E1075">
        <v>74.58</v>
      </c>
    </row>
    <row r="1076" spans="2:5">
      <c r="B1076" s="7">
        <v>46086</v>
      </c>
      <c r="C1076" s="8">
        <v>2026</v>
      </c>
      <c r="D1076" s="8" t="b">
        <f t="shared" si="16"/>
        <v>1</v>
      </c>
      <c r="E1076">
        <v>80.88</v>
      </c>
    </row>
    <row r="1077" spans="2:5">
      <c r="B1077" s="7">
        <v>46087</v>
      </c>
      <c r="C1077" s="8">
        <v>2026</v>
      </c>
      <c r="D1077" s="8" t="b">
        <f t="shared" si="16"/>
        <v>1</v>
      </c>
      <c r="E1077">
        <v>90.77</v>
      </c>
    </row>
    <row r="1078" spans="2:5">
      <c r="B1078" s="7">
        <v>46090</v>
      </c>
      <c r="C1078" s="8">
        <v>2026</v>
      </c>
      <c r="D1078" s="8" t="b">
        <f t="shared" si="16"/>
        <v>1</v>
      </c>
      <c r="E1078">
        <v>94.65</v>
      </c>
    </row>
    <row r="1079" spans="2:5">
      <c r="B1079" s="7">
        <v>46091</v>
      </c>
      <c r="C1079" s="8">
        <v>2026</v>
      </c>
      <c r="D1079" s="8" t="b">
        <f t="shared" si="16"/>
        <v>1</v>
      </c>
      <c r="E1079">
        <v>83.71</v>
      </c>
    </row>
    <row r="1080" spans="2:5">
      <c r="B1080" s="7">
        <v>46092</v>
      </c>
      <c r="C1080" s="8">
        <v>2026</v>
      </c>
      <c r="D1080" s="8" t="b">
        <f t="shared" si="16"/>
        <v>1</v>
      </c>
      <c r="E1080">
        <v>86.8</v>
      </c>
    </row>
    <row r="1081" spans="2:5">
      <c r="B1081" s="7">
        <v>46093</v>
      </c>
      <c r="C1081" s="8">
        <v>2026</v>
      </c>
      <c r="D1081" s="8" t="b">
        <f t="shared" si="16"/>
        <v>1</v>
      </c>
      <c r="E1081">
        <v>95.61</v>
      </c>
    </row>
    <row r="1082" spans="2:5">
      <c r="B1082" s="7">
        <v>46094</v>
      </c>
      <c r="C1082" s="8">
        <v>2026</v>
      </c>
      <c r="D1082" s="8" t="b">
        <f t="shared" si="16"/>
        <v>1</v>
      </c>
      <c r="E1082">
        <v>98.48</v>
      </c>
    </row>
    <row r="1083" spans="2:5">
      <c r="B1083" s="7">
        <v>46097</v>
      </c>
      <c r="C1083" s="8">
        <v>2026</v>
      </c>
      <c r="D1083" s="8" t="b">
        <f t="shared" si="16"/>
        <v>1</v>
      </c>
      <c r="E1083">
        <v>93.39</v>
      </c>
    </row>
    <row r="1084" spans="2:5">
      <c r="B1084" s="7">
        <v>46098</v>
      </c>
      <c r="C1084" s="8">
        <v>2026</v>
      </c>
      <c r="D1084" s="8" t="b">
        <f t="shared" si="16"/>
        <v>1</v>
      </c>
      <c r="E1084">
        <v>96.01</v>
      </c>
    </row>
    <row r="1085" spans="2:5">
      <c r="B1085" s="7">
        <v>46099</v>
      </c>
      <c r="C1085" s="8">
        <v>2026</v>
      </c>
      <c r="D1085" s="8" t="b">
        <f t="shared" si="16"/>
        <v>1</v>
      </c>
      <c r="E1085">
        <v>96.12</v>
      </c>
    </row>
    <row r="1086" spans="2:5">
      <c r="B1086" s="7">
        <v>46100</v>
      </c>
      <c r="C1086" s="8">
        <v>2026</v>
      </c>
      <c r="D1086" s="8" t="b">
        <f t="shared" si="16"/>
        <v>1</v>
      </c>
      <c r="E1086">
        <v>96.11</v>
      </c>
    </row>
    <row r="1087" spans="2:5">
      <c r="B1087" s="7">
        <v>46101</v>
      </c>
      <c r="C1087" s="8">
        <v>2026</v>
      </c>
      <c r="D1087" s="8" t="b">
        <f t="shared" si="16"/>
        <v>1</v>
      </c>
      <c r="E1087">
        <v>98.71</v>
      </c>
    </row>
    <row r="1088" spans="2:5">
      <c r="B1088" s="7">
        <v>46104</v>
      </c>
      <c r="C1088" s="8">
        <v>2026</v>
      </c>
      <c r="D1088" s="8" t="b">
        <f t="shared" si="16"/>
        <v>1</v>
      </c>
      <c r="E1088">
        <v>89.33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Sheet1</vt:lpstr>
      <vt:lpstr>Sheet5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Rodriguez Walton</dc:creator>
  <cp:lastModifiedBy>Samuel Rodriguez Walton</cp:lastModifiedBy>
  <dcterms:created xsi:type="dcterms:W3CDTF">2026-03-28T19:58:12Z</dcterms:created>
  <dcterms:modified xsi:type="dcterms:W3CDTF">2026-03-29T00:00:22Z</dcterms:modified>
</cp:coreProperties>
</file>